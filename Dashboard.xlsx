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65d71ef1bd92fec5/Documents/"/>
    </mc:Choice>
  </mc:AlternateContent>
  <xr:revisionPtr revIDLastSave="1586" documentId="8_{6330C3ED-2419-4479-9678-CE1F0D86C9FD}" xr6:coauthVersionLast="47" xr6:coauthVersionMax="47" xr10:uidLastSave="{DCFE7DD0-BE40-4DF5-B2C1-8D0F29410B25}"/>
  <bookViews>
    <workbookView xWindow="-108" yWindow="-108" windowWidth="23256" windowHeight="13176" activeTab="1" xr2:uid="{5AF261BE-8C44-4482-8D21-521E5DCBEE6C}"/>
  </bookViews>
  <sheets>
    <sheet name="Sheet2" sheetId="2" r:id="rId1"/>
    <sheet name=" Dashboard" sheetId="3" r:id="rId2"/>
    <sheet name="Sheet1" sheetId="1" r:id="rId3"/>
  </sheets>
  <definedNames>
    <definedName name="_xlcn.WorksheetConnection_Book1Dataset1" hidden="1">Dataset[]</definedName>
    <definedName name="ExternalData_1" localSheetId="2" hidden="1">Sheet1!$A$1:$M$401</definedName>
    <definedName name="Slicer_Category">#N/A</definedName>
    <definedName name="Slicer_Region">#N/A</definedName>
    <definedName name="Slicer_Sub_Category">#N/A</definedName>
  </definedNames>
  <calcPr calcId="191029"/>
  <pivotCaches>
    <pivotCache cacheId="1870" r:id="rId4"/>
    <pivotCache cacheId="1882" r:id="rId5"/>
    <pivotCache cacheId="1885" r:id="rId6"/>
    <pivotCache cacheId="1888" r:id="rId7"/>
    <pivotCache cacheId="1891" r:id="rId8"/>
    <pivotCache cacheId="1894" r:id="rId9"/>
    <pivotCache cacheId="1897"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981cdf03-550b-4481-a7fe-50054afe36fe" name="Dataset" connection="Query - Dataset"/>
          <x15:modelTable id="Dataset 1" name="Dataset 1" connection="WorksheetConnection_Book1!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7" i="2" l="1"/>
  <c r="F37" i="2"/>
  <c r="E37" i="2"/>
  <c r="D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1CB98A-89B3-4FDE-BC82-8151F3543C15}"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21976388-2351-42E0-83AF-3F597D42F3B4}" name="Query - Dataset" description="Connection to the 'Dataset' query in the workbook." type="100" refreshedVersion="8" minRefreshableVersion="5">
    <extLst>
      <ext xmlns:x15="http://schemas.microsoft.com/office/spreadsheetml/2010/11/main" uri="{DE250136-89BD-433C-8126-D09CA5730AF9}">
        <x15:connection id="ded6b4ff-f575-40c6-9ea4-ed630c0ddd9f"/>
      </ext>
    </extLst>
  </connection>
  <connection id="3" xr16:uid="{BF8ABE93-B9DD-4FF0-AC67-F32763F971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3A4DB69-BE82-4E6D-BF51-F2EF538B1591}" name="WorksheetConnection_Book1!Dataset" type="102" refreshedVersion="8" minRefreshableVersion="5">
    <extLst>
      <ext xmlns:x15="http://schemas.microsoft.com/office/spreadsheetml/2010/11/main" uri="{DE250136-89BD-433C-8126-D09CA5730AF9}">
        <x15:connection id="Dataset 1" autoDelete="1">
          <x15:rangePr sourceName="_xlcn.WorksheetConnection_Book1Dataset1"/>
        </x15:connection>
      </ext>
    </extLst>
  </connection>
</connections>
</file>

<file path=xl/sharedStrings.xml><?xml version="1.0" encoding="utf-8"?>
<sst xmlns="http://schemas.openxmlformats.org/spreadsheetml/2006/main" count="2066" uniqueCount="53">
  <si>
    <t>Order_ID</t>
  </si>
  <si>
    <t>Order_Date</t>
  </si>
  <si>
    <t>Category</t>
  </si>
  <si>
    <t>Sub_Category</t>
  </si>
  <si>
    <t>Region</t>
  </si>
  <si>
    <t>Sales</t>
  </si>
  <si>
    <t>Profit</t>
  </si>
  <si>
    <t>Quantity</t>
  </si>
  <si>
    <t>Year</t>
  </si>
  <si>
    <t>Month</t>
  </si>
  <si>
    <t>Month Name</t>
  </si>
  <si>
    <t>Day Name</t>
  </si>
  <si>
    <t>Profit Margin</t>
  </si>
  <si>
    <t>Furniture</t>
  </si>
  <si>
    <t>Tables</t>
  </si>
  <si>
    <t>Central</t>
  </si>
  <si>
    <t>January</t>
  </si>
  <si>
    <t>Monday</t>
  </si>
  <si>
    <t>Binders</t>
  </si>
  <si>
    <t>South</t>
  </si>
  <si>
    <t>Thursday</t>
  </si>
  <si>
    <t>Chairs</t>
  </si>
  <si>
    <t>West</t>
  </si>
  <si>
    <t>Friday</t>
  </si>
  <si>
    <t>Accessories</t>
  </si>
  <si>
    <t>Phones</t>
  </si>
  <si>
    <t>Saturday</t>
  </si>
  <si>
    <t>Sunday</t>
  </si>
  <si>
    <t>Paper</t>
  </si>
  <si>
    <t>East</t>
  </si>
  <si>
    <t>Wednesday</t>
  </si>
  <si>
    <t>February</t>
  </si>
  <si>
    <t>Tuesday</t>
  </si>
  <si>
    <t>March</t>
  </si>
  <si>
    <t>April</t>
  </si>
  <si>
    <t>May</t>
  </si>
  <si>
    <t>June</t>
  </si>
  <si>
    <t>July</t>
  </si>
  <si>
    <t>August</t>
  </si>
  <si>
    <t>September</t>
  </si>
  <si>
    <t>October</t>
  </si>
  <si>
    <t>November</t>
  </si>
  <si>
    <t>December</t>
  </si>
  <si>
    <t>Technology</t>
  </si>
  <si>
    <t>Office Supplies</t>
  </si>
  <si>
    <t>Total Sales</t>
  </si>
  <si>
    <t>Total Profit</t>
  </si>
  <si>
    <t>Row Labels</t>
  </si>
  <si>
    <t>Grand Total</t>
  </si>
  <si>
    <t>Average of Profit Margin</t>
  </si>
  <si>
    <t>KPI</t>
  </si>
  <si>
    <t>Total Order</t>
  </si>
  <si>
    <t>Avg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</si>
</sst>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 \-&quot;₹&quot;;&quot;₹&quot;\ #,##0"/>
    <numFmt numFmtId="165" formatCode="0.00%;\-0.00%;0.00%"/>
    <numFmt numFmtId="166" formatCode="&quot;₹&quot;\ #,##0"/>
    <numFmt numFmtId="168" formatCode="&quot;₹&quot;\ #,##0;#,##0\ \-&quot;₹&quot;;&quot;₹&quot;\ #,##0"/>
    <numFmt numFmtId="169" formatCode="&quot;₹&quot;\ #,##0.00;#,##0.00\ \-&quot;₹&quot;;&quot;₹&quot;\ #,##0.0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9" fontId="0" fillId="0" borderId="0" xfId="1" applyFont="1"/>
    <xf numFmtId="165" fontId="0" fillId="0" borderId="0" xfId="0" applyNumberFormat="1"/>
    <xf numFmtId="0" fontId="0" fillId="2" borderId="0" xfId="0" applyFill="1"/>
    <xf numFmtId="10" fontId="0" fillId="0" borderId="0" xfId="1" applyNumberFormat="1" applyFont="1"/>
    <xf numFmtId="166" fontId="0" fillId="0" borderId="0" xfId="0" applyNumberFormat="1"/>
    <xf numFmtId="168" fontId="0" fillId="0" borderId="0" xfId="0" applyNumberFormat="1"/>
    <xf numFmtId="0" fontId="0" fillId="0" borderId="0" xfId="0" applyNumberFormat="1"/>
    <xf numFmtId="169" fontId="0" fillId="0" borderId="0" xfId="0" applyNumberFormat="1"/>
  </cellXfs>
  <cellStyles count="2">
    <cellStyle name="Normal" xfId="0" builtinId="0"/>
    <cellStyle name="Percent" xfId="1" builtinId="5"/>
  </cellStyles>
  <dxfs count="130">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64" formatCode="&quot;₹&quot;\ #,##0;#,##0\ \-&quot;₹&quot;;&quot;₹&quot;\ #,##0"/>
    </dxf>
    <dxf>
      <numFmt numFmtId="164" formatCode="&quot;₹&quot;\ #,##0;#,##0\ \-&quot;₹&quot;;&quot;₹&quot;\ #,##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64" formatCode="&quot;₹&quot;\ #,##0;#,##0\ \-&quot;₹&quot;;&quot;₹&quot;\ #,##0"/>
    </dxf>
    <dxf>
      <numFmt numFmtId="164" formatCode="&quot;₹&quot;\ #,##0;#,##0\ \-&quot;₹&quot;;&quot;₹&quot;\ #,##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numFmt numFmtId="13" formatCode="0%"/>
    </dxf>
    <dxf>
      <numFmt numFmtId="13" formatCode="0%"/>
    </dxf>
    <dxf>
      <numFmt numFmtId="13" formatCode="0%"/>
    </dxf>
    <dxf>
      <numFmt numFmtId="13" formatCode="0%"/>
    </dxf>
    <dxf>
      <numFmt numFmtId="164" formatCode="&quot;₹&quot;\ #,##0;#,##0\ \-&quot;₹&quot;;&quot;₹&quot;\ #,##0"/>
    </dxf>
    <dxf>
      <font>
        <b/>
        <i val="0"/>
        <sz val="12"/>
        <name val="Calibri"/>
        <family val="2"/>
        <scheme val="none"/>
      </font>
      <fill>
        <patternFill>
          <bgColor theme="0"/>
        </patternFill>
      </fill>
    </dxf>
    <dxf>
      <font>
        <b/>
        <i val="0"/>
        <sz val="16"/>
        <name val="Calibri"/>
        <family val="2"/>
        <scheme val="none"/>
      </font>
      <fill>
        <patternFill>
          <bgColor theme="1" tint="0.14996795556505021"/>
        </patternFill>
      </fill>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quot;₹&quot;\ #,##0;#,##0\ \-&quot;₹&quot;;&quot;₹&quot;\ #,##0"/>
    </dxf>
    <dxf>
      <numFmt numFmtId="13" formatCode="0%"/>
    </dxf>
    <dxf>
      <numFmt numFmtId="13" formatCode="0%"/>
    </dxf>
    <dxf>
      <numFmt numFmtId="13" formatCode="0%"/>
    </dxf>
    <dxf>
      <numFmt numFmtId="13" formatCode="0%"/>
    </dxf>
  </dxfs>
  <tableStyles count="1" defaultTableStyle="TableStyleMedium2" defaultPivotStyle="PivotStyleLight16">
    <tableStyle name="Slicer Style 1" pivot="0" table="0" count="9" xr9:uid="{2D53BAA0-AF67-46BF-A75E-F370677F0A7D}">
      <tableStyleElement type="wholeTable" dxfId="117"/>
      <tableStyleElement type="headerRow" dxfId="116"/>
    </tableStyle>
  </tableStyles>
  <colors>
    <mruColors>
      <color rgb="FFF7F2FA"/>
      <color rgb="FFFAF9F6"/>
      <color rgb="FF084558"/>
      <color rgb="FFFFECEC"/>
    </mruColors>
  </colors>
  <extLst>
    <ext xmlns:x14="http://schemas.microsoft.com/office/spreadsheetml/2009/9/main" uri="{46F421CA-312F-682f-3DD2-61675219B42D}">
      <x14:dxfs count="7">
        <dxf>
          <fill>
            <patternFill>
              <bgColor theme="9" tint="0.59996337778862885"/>
            </patternFill>
          </fill>
        </dxf>
        <dxf>
          <fill>
            <patternFill>
              <bgColor theme="5" tint="0.79998168889431442"/>
            </patternFill>
          </fill>
        </dxf>
        <dxf>
          <fill>
            <patternFill>
              <bgColor theme="4" tint="0.59996337778862885"/>
            </patternFill>
          </fill>
        </dxf>
        <dxf>
          <fill>
            <patternFill>
              <bgColor rgb="FFC00000"/>
            </patternFill>
          </fill>
        </dxf>
        <dxf>
          <fill>
            <patternFill>
              <bgColor theme="0"/>
            </patternFill>
          </fill>
          <border>
            <left style="thin">
              <color auto="1"/>
            </left>
            <right style="thin">
              <color auto="1"/>
            </right>
            <top style="thin">
              <color auto="1"/>
            </top>
            <bottom style="thin">
              <color auto="1"/>
            </bottom>
          </border>
        </dxf>
        <dxf>
          <fill>
            <patternFill>
              <bgColor theme="7" tint="0.79998168889431442"/>
            </patternFill>
          </fill>
        </dxf>
        <dxf>
          <fill>
            <patternFill>
              <bgColor rgb="FFF7F2F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0"/>
            <x14:slicerStyleElement type="hoveredSelectedItemWithData" dxfId="2"/>
            <x14:slicerStyleElement type="hovered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Performance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Sheet2!$B$4:$B$7</c:f>
              <c:strCache>
                <c:ptCount val="3"/>
                <c:pt idx="0">
                  <c:v>Furniture</c:v>
                </c:pt>
                <c:pt idx="1">
                  <c:v>Office Supplies</c:v>
                </c:pt>
                <c:pt idx="2">
                  <c:v>Technology</c:v>
                </c:pt>
              </c:strCache>
            </c:strRef>
          </c:cat>
          <c:val>
            <c:numRef>
              <c:f>Sheet2!$C$4:$C$7</c:f>
              <c:numCache>
                <c:formatCode>"₹"\ #,##0;#,##0\ \-"₹";"₹"\ #,##0</c:formatCode>
                <c:ptCount val="3"/>
                <c:pt idx="0">
                  <c:v>353637.09</c:v>
                </c:pt>
                <c:pt idx="1">
                  <c:v>329260.88</c:v>
                </c:pt>
                <c:pt idx="2">
                  <c:v>364276.41</c:v>
                </c:pt>
              </c:numCache>
            </c:numRef>
          </c:val>
          <c:extLst>
            <c:ext xmlns:c16="http://schemas.microsoft.com/office/drawing/2014/chart" uri="{C3380CC4-5D6E-409C-BE32-E72D297353CC}">
              <c16:uniqueId val="{00000000-5E04-47AC-845F-02821CCC9400}"/>
            </c:ext>
          </c:extLst>
        </c:ser>
        <c:dLbls>
          <c:dLblPos val="outEnd"/>
          <c:showLegendKey val="0"/>
          <c:showVal val="1"/>
          <c:showCatName val="0"/>
          <c:showSerName val="0"/>
          <c:showPercent val="0"/>
          <c:showBubbleSize val="0"/>
        </c:dLbls>
        <c:gapWidth val="100"/>
        <c:overlap val="-24"/>
        <c:axId val="528286959"/>
        <c:axId val="528274479"/>
      </c:barChart>
      <c:catAx>
        <c:axId val="528286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528274479"/>
        <c:crosses val="autoZero"/>
        <c:auto val="1"/>
        <c:lblAlgn val="ctr"/>
        <c:lblOffset val="100"/>
        <c:noMultiLvlLbl val="0"/>
      </c:catAx>
      <c:valAx>
        <c:axId val="528274479"/>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52828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AF9F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[Dashboard.xlsx]Sheet2!PivotTable3</c:name>
    <c:fmtId val="8"/>
  </c:pivotSource>
  <c:chart>
    <c:title>
      <c:tx>
        <c:rich>
          <a:bodyPr rot="0" spcFirstLastPara="1" vertOverflow="ellipsis" vert="horz" wrap="square" anchor="ctr" anchorCtr="1"/>
          <a:lstStyle/>
          <a:p>
            <a:pPr>
              <a:defRPr sz="1800" b="1" i="0" u="none" strike="noStrike" kern="1200" cap="none" baseline="0">
                <a:solidFill>
                  <a:srgbClr val="FAF9F6"/>
                </a:solidFill>
                <a:latin typeface="+mn-lt"/>
                <a:ea typeface="+mn-ea"/>
                <a:cs typeface="+mn-cs"/>
              </a:defRPr>
            </a:pPr>
            <a:r>
              <a:rPr lang="en-US" sz="1800">
                <a:solidFill>
                  <a:srgbClr val="FAF9F6"/>
                </a:solidFill>
              </a:rPr>
              <a:t>Monthly Sales Trend</a:t>
            </a:r>
          </a:p>
        </c:rich>
      </c:tx>
      <c:overlay val="0"/>
      <c:spPr>
        <a:noFill/>
        <a:ln>
          <a:noFill/>
        </a:ln>
        <a:effectLst/>
      </c:spPr>
      <c:txPr>
        <a:bodyPr rot="0" spcFirstLastPara="1" vertOverflow="ellipsis" vert="horz" wrap="square" anchor="ctr" anchorCtr="1"/>
        <a:lstStyle/>
        <a:p>
          <a:pPr>
            <a:defRPr sz="1800" b="1" i="0" u="none" strike="noStrike" kern="1200" cap="none" baseline="0">
              <a:solidFill>
                <a:srgbClr val="FAF9F6"/>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4545289826938"/>
          <c:y val="0.22098130218065121"/>
          <c:w val="0.77092101652973855"/>
          <c:h val="0.56652767047125374"/>
        </c:manualLayout>
      </c:layout>
      <c:lineChart>
        <c:grouping val="standard"/>
        <c:varyColors val="0"/>
        <c:ser>
          <c:idx val="0"/>
          <c:order val="0"/>
          <c:tx>
            <c:strRef>
              <c:f>Sheet2!$F$3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Sheet2!$F$4:$F$16</c:f>
              <c:numCache>
                <c:formatCode>"₹"\ #,##0;#,##0\ \-"₹";"₹"\ #,##0</c:formatCode>
                <c:ptCount val="12"/>
                <c:pt idx="0">
                  <c:v>163217.24</c:v>
                </c:pt>
                <c:pt idx="1">
                  <c:v>84160.21</c:v>
                </c:pt>
                <c:pt idx="2">
                  <c:v>74343.98</c:v>
                </c:pt>
                <c:pt idx="3">
                  <c:v>71233.440000000002</c:v>
                </c:pt>
                <c:pt idx="4">
                  <c:v>89538.69</c:v>
                </c:pt>
                <c:pt idx="5">
                  <c:v>87250.96</c:v>
                </c:pt>
                <c:pt idx="6">
                  <c:v>78976.22</c:v>
                </c:pt>
                <c:pt idx="7">
                  <c:v>87562.05</c:v>
                </c:pt>
                <c:pt idx="8">
                  <c:v>81535.55</c:v>
                </c:pt>
                <c:pt idx="9">
                  <c:v>81862.02</c:v>
                </c:pt>
                <c:pt idx="10">
                  <c:v>62142.14</c:v>
                </c:pt>
                <c:pt idx="11">
                  <c:v>85351.88</c:v>
                </c:pt>
              </c:numCache>
            </c:numRef>
          </c:val>
          <c:smooth val="0"/>
          <c:extLst>
            <c:ext xmlns:c16="http://schemas.microsoft.com/office/drawing/2014/chart" uri="{C3380CC4-5D6E-409C-BE32-E72D297353CC}">
              <c16:uniqueId val="{00000000-CD28-435D-B260-EC634A8D42F3}"/>
            </c:ext>
          </c:extLst>
        </c:ser>
        <c:dLbls>
          <c:showLegendKey val="0"/>
          <c:showVal val="0"/>
          <c:showCatName val="0"/>
          <c:showSerName val="0"/>
          <c:showPercent val="0"/>
          <c:showBubbleSize val="0"/>
        </c:dLbls>
        <c:marker val="1"/>
        <c:smooth val="0"/>
        <c:axId val="2915007"/>
        <c:axId val="2913567"/>
      </c:lineChart>
      <c:catAx>
        <c:axId val="2915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2913567"/>
        <c:crosses val="autoZero"/>
        <c:auto val="1"/>
        <c:lblAlgn val="ctr"/>
        <c:lblOffset val="100"/>
        <c:noMultiLvlLbl val="0"/>
      </c:catAx>
      <c:valAx>
        <c:axId val="2913567"/>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FAF9F6"/>
                </a:solidFill>
                <a:latin typeface="+mn-lt"/>
                <a:ea typeface="+mn-ea"/>
                <a:cs typeface="+mn-cs"/>
              </a:defRPr>
            </a:pPr>
            <a:endParaRPr lang="en-US"/>
          </a:p>
        </c:txPr>
        <c:crossAx val="291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[Dashboard.xlsx]Sheet2!PivotTable4</c:name>
    <c:fmtId val="3"/>
  </c:pivotSource>
  <c:chart>
    <c:title>
      <c:tx>
        <c:rich>
          <a:bodyPr rot="0" spcFirstLastPara="1" vertOverflow="ellipsis" vert="horz" wrap="square" anchor="ctr" anchorCtr="1"/>
          <a:lstStyle/>
          <a:p>
            <a:pPr>
              <a:defRPr sz="1600" b="1" i="0" u="none" strike="noStrike" kern="1200" spc="100" baseline="0">
                <a:solidFill>
                  <a:srgbClr val="FAF9F6"/>
                </a:solidFill>
                <a:effectLst>
                  <a:outerShdw blurRad="50800" dist="38100" dir="5400000" algn="t" rotWithShape="0">
                    <a:prstClr val="black">
                      <a:alpha val="40000"/>
                    </a:prstClr>
                  </a:outerShdw>
                </a:effectLst>
                <a:latin typeface="+mn-lt"/>
                <a:ea typeface="+mn-ea"/>
                <a:cs typeface="+mn-cs"/>
              </a:defRPr>
            </a:pPr>
            <a:r>
              <a:rPr lang="en-US">
                <a:solidFill>
                  <a:srgbClr val="FAF9F6"/>
                </a:solidFill>
              </a:rPr>
              <a:t> Profitability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FAF9F6"/>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F9F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AF9F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Sheet2!$H$4:$H$8</c:f>
              <c:strCache>
                <c:ptCount val="4"/>
                <c:pt idx="0">
                  <c:v>Central</c:v>
                </c:pt>
                <c:pt idx="1">
                  <c:v>East</c:v>
                </c:pt>
                <c:pt idx="2">
                  <c:v>South</c:v>
                </c:pt>
                <c:pt idx="3">
                  <c:v>West</c:v>
                </c:pt>
              </c:strCache>
            </c:strRef>
          </c:cat>
          <c:val>
            <c:numRef>
              <c:f>Sheet2!$I$4:$I$8</c:f>
              <c:numCache>
                <c:formatCode>"₹"\ #,##0.00;#,##0.00\ \-"₹";"₹"\ #,##0.00</c:formatCode>
                <c:ptCount val="4"/>
                <c:pt idx="0">
                  <c:v>46083.82</c:v>
                </c:pt>
                <c:pt idx="1">
                  <c:v>50890.84</c:v>
                </c:pt>
                <c:pt idx="2">
                  <c:v>47384.1</c:v>
                </c:pt>
                <c:pt idx="3">
                  <c:v>63004.3</c:v>
                </c:pt>
              </c:numCache>
            </c:numRef>
          </c:val>
          <c:extLst>
            <c:ext xmlns:c16="http://schemas.microsoft.com/office/drawing/2014/chart" uri="{C3380CC4-5D6E-409C-BE32-E72D297353CC}">
              <c16:uniqueId val="{00000000-D918-4E9E-84B2-C7173C0F79BE}"/>
            </c:ext>
          </c:extLst>
        </c:ser>
        <c:dLbls>
          <c:dLblPos val="outEnd"/>
          <c:showLegendKey val="0"/>
          <c:showVal val="1"/>
          <c:showCatName val="0"/>
          <c:showSerName val="0"/>
          <c:showPercent val="0"/>
          <c:showBubbleSize val="0"/>
        </c:dLbls>
        <c:gapWidth val="115"/>
        <c:overlap val="-20"/>
        <c:axId val="2921727"/>
        <c:axId val="2922207"/>
      </c:barChart>
      <c:catAx>
        <c:axId val="2921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2922207"/>
        <c:crosses val="autoZero"/>
        <c:auto val="1"/>
        <c:lblAlgn val="ctr"/>
        <c:lblOffset val="100"/>
        <c:noMultiLvlLbl val="0"/>
      </c:catAx>
      <c:valAx>
        <c:axId val="2922207"/>
        <c:scaling>
          <c:orientation val="minMax"/>
          <c:min val="0"/>
        </c:scaling>
        <c:delete val="0"/>
        <c:axPos val="b"/>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AF9F6"/>
                </a:solidFill>
                <a:latin typeface="+mn-lt"/>
                <a:ea typeface="+mn-ea"/>
                <a:cs typeface="+mn-cs"/>
              </a:defRPr>
            </a:pPr>
            <a:endParaRPr lang="en-US"/>
          </a:p>
        </c:txPr>
        <c:crossAx val="292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AF9F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Regional Sales Comparison</a:t>
            </a:r>
          </a:p>
        </c:rich>
      </c:tx>
      <c:layout>
        <c:manualLayout>
          <c:xMode val="edge"/>
          <c:yMode val="edge"/>
          <c:x val="0.13666802565775168"/>
          <c:y val="1.524975984630163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Sheet2!$P$4:$P$8</c:f>
              <c:strCache>
                <c:ptCount val="4"/>
                <c:pt idx="0">
                  <c:v>Central</c:v>
                </c:pt>
                <c:pt idx="1">
                  <c:v>East</c:v>
                </c:pt>
                <c:pt idx="2">
                  <c:v>South</c:v>
                </c:pt>
                <c:pt idx="3">
                  <c:v>West</c:v>
                </c:pt>
              </c:strCache>
            </c:strRef>
          </c:cat>
          <c:val>
            <c:numRef>
              <c:f>Sheet2!$Q$4:$Q$8</c:f>
              <c:numCache>
                <c:formatCode>"₹"\ #,##0;#,##0\ \-"₹";"₹"\ #,##0</c:formatCode>
                <c:ptCount val="4"/>
                <c:pt idx="0">
                  <c:v>266483.65000000002</c:v>
                </c:pt>
                <c:pt idx="1">
                  <c:v>242025.46</c:v>
                </c:pt>
                <c:pt idx="2">
                  <c:v>250878.2</c:v>
                </c:pt>
                <c:pt idx="3">
                  <c:v>287787.07</c:v>
                </c:pt>
              </c:numCache>
            </c:numRef>
          </c:val>
          <c:extLst>
            <c:ext xmlns:c16="http://schemas.microsoft.com/office/drawing/2014/chart" uri="{C3380CC4-5D6E-409C-BE32-E72D297353CC}">
              <c16:uniqueId val="{00000000-A510-4351-93B0-8AA3134F96D2}"/>
            </c:ext>
          </c:extLst>
        </c:ser>
        <c:ser>
          <c:idx val="1"/>
          <c:order val="1"/>
          <c:tx>
            <c:strRef>
              <c:f>Sheet2!$R$3</c:f>
              <c:strCache>
                <c:ptCount val="1"/>
                <c:pt idx="0">
                  <c:v>Total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Sheet2!$P$4:$P$8</c:f>
              <c:strCache>
                <c:ptCount val="4"/>
                <c:pt idx="0">
                  <c:v>Central</c:v>
                </c:pt>
                <c:pt idx="1">
                  <c:v>East</c:v>
                </c:pt>
                <c:pt idx="2">
                  <c:v>South</c:v>
                </c:pt>
                <c:pt idx="3">
                  <c:v>West</c:v>
                </c:pt>
              </c:strCache>
            </c:strRef>
          </c:cat>
          <c:val>
            <c:numRef>
              <c:f>Sheet2!$R$4:$R$8</c:f>
              <c:numCache>
                <c:formatCode>"₹"\ #,##0.00;#,##0.00\ \-"₹";"₹"\ #,##0.00</c:formatCode>
                <c:ptCount val="4"/>
                <c:pt idx="0">
                  <c:v>46083.82</c:v>
                </c:pt>
                <c:pt idx="1">
                  <c:v>50890.84</c:v>
                </c:pt>
                <c:pt idx="2">
                  <c:v>47384.1</c:v>
                </c:pt>
                <c:pt idx="3">
                  <c:v>63004.3</c:v>
                </c:pt>
              </c:numCache>
            </c:numRef>
          </c:val>
          <c:extLst>
            <c:ext xmlns:c16="http://schemas.microsoft.com/office/drawing/2014/chart" uri="{C3380CC4-5D6E-409C-BE32-E72D297353CC}">
              <c16:uniqueId val="{00000001-A510-4351-93B0-8AA3134F96D2}"/>
            </c:ext>
          </c:extLst>
        </c:ser>
        <c:dLbls>
          <c:showLegendKey val="0"/>
          <c:showVal val="0"/>
          <c:showCatName val="0"/>
          <c:showSerName val="0"/>
          <c:showPercent val="0"/>
          <c:showBubbleSize val="0"/>
        </c:dLbls>
        <c:gapWidth val="100"/>
        <c:overlap val="-24"/>
        <c:axId val="11304031"/>
        <c:axId val="11296831"/>
      </c:barChart>
      <c:catAx>
        <c:axId val="113040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11296831"/>
        <c:crosses val="autoZero"/>
        <c:auto val="1"/>
        <c:lblAlgn val="ctr"/>
        <c:lblOffset val="100"/>
        <c:noMultiLvlLbl val="0"/>
      </c:catAx>
      <c:valAx>
        <c:axId val="11296831"/>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113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AF9F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Margin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Sheet2!$I$20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AE-403F-9CEA-088E01A856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AE-403F-9CEA-088E01A856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5AE-403F-9CEA-088E01A856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5AE-403F-9CEA-088E01A856B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AE-403F-9CEA-088E01A856B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5AE-403F-9CEA-088E01A856B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Sheet2!$H$21:$H$27</c:f>
              <c:strCache>
                <c:ptCount val="6"/>
                <c:pt idx="0">
                  <c:v>Accessories</c:v>
                </c:pt>
                <c:pt idx="1">
                  <c:v>Binders</c:v>
                </c:pt>
                <c:pt idx="2">
                  <c:v>Chairs</c:v>
                </c:pt>
                <c:pt idx="3">
                  <c:v>Paper</c:v>
                </c:pt>
                <c:pt idx="4">
                  <c:v>Phones</c:v>
                </c:pt>
                <c:pt idx="5">
                  <c:v>Tables</c:v>
                </c:pt>
              </c:strCache>
            </c:strRef>
          </c:cat>
          <c:val>
            <c:numRef>
              <c:f>Sheet2!$I$21:$I$27</c:f>
              <c:numCache>
                <c:formatCode>0%</c:formatCode>
                <c:ptCount val="6"/>
                <c:pt idx="0">
                  <c:v>0.42504675731459779</c:v>
                </c:pt>
                <c:pt idx="1">
                  <c:v>0.40180635638644191</c:v>
                </c:pt>
                <c:pt idx="2">
                  <c:v>0.29896345884768144</c:v>
                </c:pt>
                <c:pt idx="3">
                  <c:v>0.29139236924982109</c:v>
                </c:pt>
                <c:pt idx="4">
                  <c:v>0.37762486042421278</c:v>
                </c:pt>
                <c:pt idx="5">
                  <c:v>0.46008746377279147</c:v>
                </c:pt>
              </c:numCache>
            </c:numRef>
          </c:val>
          <c:extLst>
            <c:ext xmlns:c16="http://schemas.microsoft.com/office/drawing/2014/chart" uri="{C3380CC4-5D6E-409C-BE32-E72D297353CC}">
              <c16:uniqueId val="{0000000C-25AE-403F-9CEA-088E01A856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AF9F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[Dashboard.xlsx]Sheet2!PivotTable6</c:name>
    <c:fmtId val="2"/>
  </c:pivotSource>
  <c:chart>
    <c:title>
      <c:tx>
        <c:rich>
          <a:bodyPr rot="0" spcFirstLastPara="1" vertOverflow="ellipsis" vert="horz" wrap="square" anchor="ctr" anchorCtr="1"/>
          <a:lstStyle/>
          <a:p>
            <a:pPr>
              <a:defRPr sz="1600" b="1" i="0" u="none" strike="noStrike" kern="1200" spc="100" baseline="0">
                <a:solidFill>
                  <a:srgbClr val="FAF9F6"/>
                </a:solidFill>
                <a:effectLst>
                  <a:outerShdw blurRad="50800" dist="38100" dir="5400000" algn="t" rotWithShape="0">
                    <a:prstClr val="black">
                      <a:alpha val="40000"/>
                    </a:prstClr>
                  </a:outerShdw>
                </a:effectLst>
                <a:latin typeface="+mn-lt"/>
                <a:ea typeface="+mn-ea"/>
                <a:cs typeface="+mn-cs"/>
              </a:defRPr>
            </a:pPr>
            <a:r>
              <a:rPr lang="en-US">
                <a:solidFill>
                  <a:srgbClr val="FAF9F6"/>
                </a:solidFill>
              </a:rPr>
              <a:t>Top 5 OrderID By Sales </a:t>
            </a:r>
          </a:p>
        </c:rich>
      </c:tx>
      <c:layout>
        <c:manualLayout>
          <c:xMode val="edge"/>
          <c:yMode val="edge"/>
          <c:x val="0.22466285649205092"/>
          <c:y val="6.79347826086956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FAF9F6"/>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0357876382760042E-17"/>
              <c:y val="-0.29957203994293868"/>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236131809902909E-3"/>
              <c:y val="-0.213980028530670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997146932952924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236131809902302E-3"/>
              <c:y val="-0.1711840228245363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236131809902302E-3"/>
              <c:y val="-0.204469805040418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47867382590249"/>
          <c:y val="0.24491604645309747"/>
          <c:w val="0.68638946173394988"/>
          <c:h val="0.56999430303770171"/>
        </c:manualLayout>
      </c:layout>
      <c:barChart>
        <c:barDir val="col"/>
        <c:grouping val="stacked"/>
        <c:varyColors val="0"/>
        <c:ser>
          <c:idx val="0"/>
          <c:order val="0"/>
          <c:tx>
            <c:strRef>
              <c:f>Sheet2!$M$3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C196-4A5D-97D8-9931E2B0B8B0}"/>
              </c:ext>
            </c:extLst>
          </c:dPt>
          <c:dPt>
            <c:idx val="1"/>
            <c:invertIfNegative val="0"/>
            <c:bubble3D val="0"/>
            <c:extLst>
              <c:ext xmlns:c16="http://schemas.microsoft.com/office/drawing/2014/chart" uri="{C3380CC4-5D6E-409C-BE32-E72D297353CC}">
                <c16:uniqueId val="{00000001-C196-4A5D-97D8-9931E2B0B8B0}"/>
              </c:ext>
            </c:extLst>
          </c:dPt>
          <c:dPt>
            <c:idx val="2"/>
            <c:invertIfNegative val="0"/>
            <c:bubble3D val="0"/>
            <c:extLst>
              <c:ext xmlns:c16="http://schemas.microsoft.com/office/drawing/2014/chart" uri="{C3380CC4-5D6E-409C-BE32-E72D297353CC}">
                <c16:uniqueId val="{00000002-C196-4A5D-97D8-9931E2B0B8B0}"/>
              </c:ext>
            </c:extLst>
          </c:dPt>
          <c:dPt>
            <c:idx val="3"/>
            <c:invertIfNegative val="0"/>
            <c:bubble3D val="0"/>
            <c:extLst>
              <c:ext xmlns:c16="http://schemas.microsoft.com/office/drawing/2014/chart" uri="{C3380CC4-5D6E-409C-BE32-E72D297353CC}">
                <c16:uniqueId val="{00000003-C196-4A5D-97D8-9931E2B0B8B0}"/>
              </c:ext>
            </c:extLst>
          </c:dPt>
          <c:dPt>
            <c:idx val="4"/>
            <c:invertIfNegative val="0"/>
            <c:bubble3D val="0"/>
            <c:extLst>
              <c:ext xmlns:c16="http://schemas.microsoft.com/office/drawing/2014/chart" uri="{C3380CC4-5D6E-409C-BE32-E72D297353CC}">
                <c16:uniqueId val="{00000004-C196-4A5D-97D8-9931E2B0B8B0}"/>
              </c:ext>
            </c:extLst>
          </c:dPt>
          <c:dLbls>
            <c:dLbl>
              <c:idx val="0"/>
              <c:layout>
                <c:manualLayout>
                  <c:x val="-3.0357876382760042E-17"/>
                  <c:y val="-0.2995720399429386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196-4A5D-97D8-9931E2B0B8B0}"/>
                </c:ext>
              </c:extLst>
            </c:dLbl>
            <c:dLbl>
              <c:idx val="1"/>
              <c:layout>
                <c:manualLayout>
                  <c:x val="-6.6236131809902909E-3"/>
                  <c:y val="-0.213980028530670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96-4A5D-97D8-9931E2B0B8B0}"/>
                </c:ext>
              </c:extLst>
            </c:dLbl>
            <c:dLbl>
              <c:idx val="2"/>
              <c:layout>
                <c:manualLayout>
                  <c:x val="0"/>
                  <c:y val="-0.1997146932952924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96-4A5D-97D8-9931E2B0B8B0}"/>
                </c:ext>
              </c:extLst>
            </c:dLbl>
            <c:dLbl>
              <c:idx val="3"/>
              <c:layout>
                <c:manualLayout>
                  <c:x val="-6.6236131809902302E-3"/>
                  <c:y val="-0.171184022824536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96-4A5D-97D8-9931E2B0B8B0}"/>
                </c:ext>
              </c:extLst>
            </c:dLbl>
            <c:dLbl>
              <c:idx val="4"/>
              <c:layout>
                <c:manualLayout>
                  <c:x val="-6.6236131809902302E-3"/>
                  <c:y val="-0.204469805040418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96-4A5D-97D8-9931E2B0B8B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AF9F6"/>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Sheet2!$L$4:$L$9</c:f>
              <c:strCache>
                <c:ptCount val="5"/>
                <c:pt idx="0">
                  <c:v>1001</c:v>
                </c:pt>
                <c:pt idx="1">
                  <c:v>1002</c:v>
                </c:pt>
                <c:pt idx="2">
                  <c:v>1003</c:v>
                </c:pt>
                <c:pt idx="3">
                  <c:v>1004</c:v>
                </c:pt>
                <c:pt idx="4">
                  <c:v>1005</c:v>
                </c:pt>
              </c:strCache>
            </c:strRef>
          </c:cat>
          <c:val>
            <c:numRef>
              <c:f>Sheet2!$M$4:$M$9</c:f>
              <c:numCache>
                <c:formatCode>"₹"\ #,##0;#,##0\ \-"₹";"₹"\ #,##0</c:formatCode>
                <c:ptCount val="5"/>
                <c:pt idx="0">
                  <c:v>4508.37</c:v>
                </c:pt>
                <c:pt idx="1">
                  <c:v>3158.1</c:v>
                </c:pt>
                <c:pt idx="2">
                  <c:v>2744.93</c:v>
                </c:pt>
                <c:pt idx="3">
                  <c:v>2249.85</c:v>
                </c:pt>
                <c:pt idx="4">
                  <c:v>2929.68</c:v>
                </c:pt>
              </c:numCache>
            </c:numRef>
          </c:val>
          <c:extLst>
            <c:ext xmlns:c16="http://schemas.microsoft.com/office/drawing/2014/chart" uri="{C3380CC4-5D6E-409C-BE32-E72D297353CC}">
              <c16:uniqueId val="{00000000-F46D-4418-80EE-862DE8F8F37A}"/>
            </c:ext>
          </c:extLst>
        </c:ser>
        <c:dLbls>
          <c:dLblPos val="ctr"/>
          <c:showLegendKey val="0"/>
          <c:showVal val="1"/>
          <c:showCatName val="0"/>
          <c:showSerName val="0"/>
          <c:showPercent val="0"/>
          <c:showBubbleSize val="0"/>
        </c:dLbls>
        <c:gapWidth val="150"/>
        <c:overlap val="100"/>
        <c:axId val="15572559"/>
        <c:axId val="15574959"/>
      </c:barChart>
      <c:catAx>
        <c:axId val="15572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15574959"/>
        <c:crosses val="autoZero"/>
        <c:auto val="1"/>
        <c:lblAlgn val="ctr"/>
        <c:lblOffset val="100"/>
        <c:noMultiLvlLbl val="0"/>
      </c:catAx>
      <c:valAx>
        <c:axId val="15574959"/>
        <c:scaling>
          <c:orientation val="minMax"/>
        </c:scaling>
        <c:delete val="0"/>
        <c:axPos val="l"/>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FAF9F6"/>
                </a:solidFill>
                <a:latin typeface="+mn-lt"/>
                <a:ea typeface="+mn-ea"/>
                <a:cs typeface="+mn-cs"/>
              </a:defRPr>
            </a:pPr>
            <a:endParaRPr lang="en-US"/>
          </a:p>
        </c:txPr>
        <c:crossAx val="1557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FAF9F6"/>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171450</xdr:colOff>
      <xdr:row>0</xdr:row>
      <xdr:rowOff>9525</xdr:rowOff>
    </xdr:from>
    <xdr:to>
      <xdr:col>25</xdr:col>
      <xdr:colOff>519450</xdr:colOff>
      <xdr:row>47</xdr:row>
      <xdr:rowOff>100500</xdr:rowOff>
    </xdr:to>
    <xdr:sp macro="" textlink="">
      <xdr:nvSpPr>
        <xdr:cNvPr id="2" name="Rectangle 1">
          <a:extLst>
            <a:ext uri="{FF2B5EF4-FFF2-40B4-BE49-F238E27FC236}">
              <a16:creationId xmlns:a16="http://schemas.microsoft.com/office/drawing/2014/main" id="{B1D7F397-9EEC-F844-10AF-A9121572CADA}"/>
            </a:ext>
          </a:extLst>
        </xdr:cNvPr>
        <xdr:cNvSpPr/>
      </xdr:nvSpPr>
      <xdr:spPr>
        <a:xfrm>
          <a:off x="171450" y="9525"/>
          <a:ext cx="15588000" cy="8596800"/>
        </a:xfrm>
        <a:prstGeom prst="rect">
          <a:avLst/>
        </a:prstGeom>
        <a:solidFill>
          <a:srgbClr val="084558"/>
        </a:solidFill>
        <a:ln>
          <a:solidFill>
            <a:schemeClr val="tx1">
              <a:lumMod val="85000"/>
              <a:lumOff val="1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solidFill>
              <a:srgbClr val="C00000"/>
            </a:solidFill>
          </a:endParaRPr>
        </a:p>
      </xdr:txBody>
    </xdr:sp>
    <xdr:clientData fLocksWithSheet="0"/>
  </xdr:twoCellAnchor>
  <xdr:twoCellAnchor editAs="absolute">
    <xdr:from>
      <xdr:col>5</xdr:col>
      <xdr:colOff>571499</xdr:colOff>
      <xdr:row>1</xdr:row>
      <xdr:rowOff>12065</xdr:rowOff>
    </xdr:from>
    <xdr:to>
      <xdr:col>9</xdr:col>
      <xdr:colOff>428624</xdr:colOff>
      <xdr:row>5</xdr:row>
      <xdr:rowOff>177365</xdr:rowOff>
    </xdr:to>
    <xdr:sp macro="" textlink="Sheet2!C37">
      <xdr:nvSpPr>
        <xdr:cNvPr id="3" name="Rectangle: Rounded Corners 2">
          <a:extLst>
            <a:ext uri="{FF2B5EF4-FFF2-40B4-BE49-F238E27FC236}">
              <a16:creationId xmlns:a16="http://schemas.microsoft.com/office/drawing/2014/main" id="{6544A7DB-703D-4D4B-D35B-620F9C1DA9D0}"/>
            </a:ext>
          </a:extLst>
        </xdr:cNvPr>
        <xdr:cNvSpPr/>
      </xdr:nvSpPr>
      <xdr:spPr>
        <a:xfrm>
          <a:off x="3619499" y="193040"/>
          <a:ext cx="2295525" cy="889200"/>
        </a:xfrm>
        <a:prstGeom prst="roundRect">
          <a:avLst/>
        </a:prstGeom>
        <a:solidFill>
          <a:srgbClr val="C00000"/>
        </a:solidFill>
        <a:ln>
          <a:solidFill>
            <a:schemeClr val="tx1">
              <a:lumMod val="95000"/>
              <a:lumOff val="5000"/>
            </a:schemeClr>
          </a:solidFill>
        </a:ln>
        <a:effectLst>
          <a:glow rad="50800">
            <a:srgbClr val="C00000">
              <a:alpha val="40000"/>
            </a:srgbClr>
          </a:glow>
          <a:outerShdw blurRad="50800" dist="50800" dir="6000000" algn="ctr" rotWithShape="0">
            <a:srgbClr val="C00000">
              <a:alpha val="4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FAF9F6"/>
              </a:solidFill>
              <a:latin typeface="Calibri"/>
              <a:ea typeface="Calibri"/>
              <a:cs typeface="Calibri"/>
            </a:rPr>
            <a:t>Total Sales</a:t>
          </a:r>
          <a:br>
            <a:rPr lang="en-US" sz="2000" b="1" i="0" u="none" strike="noStrike">
              <a:solidFill>
                <a:srgbClr val="FAF9F6"/>
              </a:solidFill>
              <a:latin typeface="Calibri"/>
              <a:ea typeface="Calibri"/>
              <a:cs typeface="Calibri"/>
            </a:rPr>
          </a:br>
          <a:fld id="{9DC2E5AF-E3FE-4A12-ACF5-217A3D5DD29A}" type="TxLink">
            <a:rPr lang="en-US" sz="2000" b="1" i="0" u="none" strike="noStrike">
              <a:solidFill>
                <a:srgbClr val="FAF9F6"/>
              </a:solidFill>
              <a:latin typeface="Calibri"/>
              <a:ea typeface="Calibri"/>
              <a:cs typeface="Calibri"/>
            </a:rPr>
            <a:t>₹ 10,47,174</a:t>
          </a:fld>
          <a:endParaRPr lang="en-US" sz="4000" b="1">
            <a:solidFill>
              <a:srgbClr val="FAF9F6"/>
            </a:solidFill>
            <a:latin typeface="+mn-lt"/>
          </a:endParaRPr>
        </a:p>
      </xdr:txBody>
    </xdr:sp>
    <xdr:clientData/>
  </xdr:twoCellAnchor>
  <xdr:twoCellAnchor editAs="absolute">
    <xdr:from>
      <xdr:col>10</xdr:col>
      <xdr:colOff>459105</xdr:colOff>
      <xdr:row>0</xdr:row>
      <xdr:rowOff>157480</xdr:rowOff>
    </xdr:from>
    <xdr:to>
      <xdr:col>14</xdr:col>
      <xdr:colOff>317505</xdr:colOff>
      <xdr:row>5</xdr:row>
      <xdr:rowOff>143080</xdr:rowOff>
    </xdr:to>
    <xdr:sp macro="" textlink="Sheet2!D37">
      <xdr:nvSpPr>
        <xdr:cNvPr id="5" name="Rectangle: Rounded Corners 4">
          <a:extLst>
            <a:ext uri="{FF2B5EF4-FFF2-40B4-BE49-F238E27FC236}">
              <a16:creationId xmlns:a16="http://schemas.microsoft.com/office/drawing/2014/main" id="{5E8E8E4B-BD86-49F5-B991-6C1E8C70D37C}"/>
            </a:ext>
          </a:extLst>
        </xdr:cNvPr>
        <xdr:cNvSpPr/>
      </xdr:nvSpPr>
      <xdr:spPr>
        <a:xfrm>
          <a:off x="6555105" y="157480"/>
          <a:ext cx="2296800" cy="890475"/>
        </a:xfrm>
        <a:prstGeom prst="roundRect">
          <a:avLst/>
        </a:prstGeom>
        <a:solidFill>
          <a:srgbClr val="00B0F0"/>
        </a:solidFill>
        <a:ln>
          <a:solidFill>
            <a:schemeClr val="tx1">
              <a:lumMod val="95000"/>
              <a:lumOff val="5000"/>
            </a:schemeClr>
          </a:solidFill>
        </a:ln>
        <a:effectLst>
          <a:glow rad="50800">
            <a:srgbClr val="00B0F0"/>
          </a:glow>
          <a:outerShdw blurRad="50800" dist="38100" dir="2700000" algn="tl" rotWithShape="0">
            <a:srgbClr val="00B0F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FAF9F6"/>
              </a:solidFill>
              <a:latin typeface="Calibri"/>
              <a:ea typeface="Calibri"/>
              <a:cs typeface="Calibri"/>
            </a:rPr>
            <a:t>Total Profit</a:t>
          </a:r>
          <a:br>
            <a:rPr lang="en-US" sz="2000" b="1" i="0" u="none" strike="noStrike">
              <a:solidFill>
                <a:srgbClr val="FAF9F6"/>
              </a:solidFill>
              <a:latin typeface="Calibri"/>
              <a:ea typeface="Calibri"/>
              <a:cs typeface="Calibri"/>
            </a:rPr>
          </a:br>
          <a:fld id="{6BD30F01-DDCF-49A5-B629-56DF79E0C224}" type="TxLink">
            <a:rPr lang="en-US" sz="2000" b="1" i="0" u="none" strike="noStrike">
              <a:solidFill>
                <a:srgbClr val="FAF9F6"/>
              </a:solidFill>
              <a:latin typeface="Calibri"/>
              <a:ea typeface="Calibri"/>
              <a:cs typeface="Calibri"/>
            </a:rPr>
            <a:t>₹ 2,07,363</a:t>
          </a:fld>
          <a:endParaRPr lang="en-US" sz="4000" b="1">
            <a:solidFill>
              <a:srgbClr val="FAF9F6"/>
            </a:solidFill>
          </a:endParaRPr>
        </a:p>
      </xdr:txBody>
    </xdr:sp>
    <xdr:clientData/>
  </xdr:twoCellAnchor>
  <xdr:twoCellAnchor editAs="absolute">
    <xdr:from>
      <xdr:col>21</xdr:col>
      <xdr:colOff>7620</xdr:colOff>
      <xdr:row>0</xdr:row>
      <xdr:rowOff>133350</xdr:rowOff>
    </xdr:from>
    <xdr:to>
      <xdr:col>24</xdr:col>
      <xdr:colOff>475620</xdr:colOff>
      <xdr:row>5</xdr:row>
      <xdr:rowOff>120855</xdr:rowOff>
    </xdr:to>
    <xdr:sp macro="" textlink="Sheet2!F37">
      <xdr:nvSpPr>
        <xdr:cNvPr id="6" name="Rectangle: Rounded Corners 5">
          <a:extLst>
            <a:ext uri="{FF2B5EF4-FFF2-40B4-BE49-F238E27FC236}">
              <a16:creationId xmlns:a16="http://schemas.microsoft.com/office/drawing/2014/main" id="{7B25E39A-AE91-430F-81EB-A255D3A09D14}"/>
            </a:ext>
          </a:extLst>
        </xdr:cNvPr>
        <xdr:cNvSpPr/>
      </xdr:nvSpPr>
      <xdr:spPr>
        <a:xfrm>
          <a:off x="12809220" y="133350"/>
          <a:ext cx="2296800" cy="892380"/>
        </a:xfrm>
        <a:prstGeom prst="roundRect">
          <a:avLst/>
        </a:prstGeom>
        <a:solidFill>
          <a:srgbClr val="FFC000"/>
        </a:solidFill>
        <a:effectLst>
          <a:glow rad="50800">
            <a:srgbClr val="FFC000"/>
          </a:glow>
          <a:outerShdw blurRad="50800" dist="38100" dir="2700000" algn="tl" rotWithShape="0">
            <a:srgbClr val="FFC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FAF9F6"/>
              </a:solidFill>
              <a:latin typeface="Calibri"/>
              <a:ea typeface="Calibri"/>
              <a:cs typeface="Calibri"/>
            </a:rPr>
            <a:t>Avg Profit Margin</a:t>
          </a:r>
          <a:br>
            <a:rPr lang="en-US" sz="2000" b="1" i="0" u="none" strike="noStrike">
              <a:solidFill>
                <a:srgbClr val="FAF9F6"/>
              </a:solidFill>
              <a:latin typeface="Calibri"/>
              <a:ea typeface="Calibri"/>
              <a:cs typeface="Calibri"/>
            </a:rPr>
          </a:br>
          <a:fld id="{F981B865-14EB-419C-B725-68538AAB9299}" type="TxLink">
            <a:rPr lang="en-US" sz="2000" b="1" i="0" u="none" strike="noStrike">
              <a:solidFill>
                <a:srgbClr val="FAF9F6"/>
              </a:solidFill>
              <a:latin typeface="Calibri"/>
              <a:ea typeface="Calibri"/>
              <a:cs typeface="Calibri"/>
            </a:rPr>
            <a:t>37.29%</a:t>
          </a:fld>
          <a:endParaRPr lang="en-US" sz="4000" b="1">
            <a:solidFill>
              <a:srgbClr val="FAF9F6"/>
            </a:solidFill>
          </a:endParaRPr>
        </a:p>
      </xdr:txBody>
    </xdr:sp>
    <xdr:clientData/>
  </xdr:twoCellAnchor>
  <xdr:twoCellAnchor editAs="absolute">
    <xdr:from>
      <xdr:col>15</xdr:col>
      <xdr:colOff>457200</xdr:colOff>
      <xdr:row>0</xdr:row>
      <xdr:rowOff>160020</xdr:rowOff>
    </xdr:from>
    <xdr:to>
      <xdr:col>19</xdr:col>
      <xdr:colOff>315600</xdr:colOff>
      <xdr:row>5</xdr:row>
      <xdr:rowOff>145620</xdr:rowOff>
    </xdr:to>
    <xdr:sp macro="" textlink="Sheet2!E37">
      <xdr:nvSpPr>
        <xdr:cNvPr id="7" name="Rectangle: Rounded Corners 6">
          <a:extLst>
            <a:ext uri="{FF2B5EF4-FFF2-40B4-BE49-F238E27FC236}">
              <a16:creationId xmlns:a16="http://schemas.microsoft.com/office/drawing/2014/main" id="{BAF9FA8F-12C1-4CBF-AB9C-94CC616B4DA7}"/>
            </a:ext>
          </a:extLst>
        </xdr:cNvPr>
        <xdr:cNvSpPr/>
      </xdr:nvSpPr>
      <xdr:spPr>
        <a:xfrm>
          <a:off x="9601200" y="160020"/>
          <a:ext cx="2296800" cy="890475"/>
        </a:xfrm>
        <a:prstGeom prst="roundRect">
          <a:avLst/>
        </a:prstGeom>
        <a:solidFill>
          <a:srgbClr val="00B050"/>
        </a:solidFill>
        <a:effectLst>
          <a:glow rad="50800">
            <a:srgbClr val="00B050"/>
          </a:glow>
          <a:outerShdw blurRad="50800" dist="38100" dir="2700000" algn="tl" rotWithShape="0">
            <a:srgbClr val="00B05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rgbClr val="FAF9F6"/>
              </a:solidFill>
              <a:latin typeface="Calibri"/>
              <a:ea typeface="Calibri"/>
              <a:cs typeface="Calibri"/>
            </a:rPr>
            <a:t>Total</a:t>
          </a:r>
          <a:r>
            <a:rPr lang="en-US" sz="2000" b="1" i="0" u="none" strike="noStrike" baseline="0">
              <a:solidFill>
                <a:srgbClr val="FAF9F6"/>
              </a:solidFill>
              <a:latin typeface="Calibri"/>
              <a:ea typeface="Calibri"/>
              <a:cs typeface="Calibri"/>
            </a:rPr>
            <a:t> Orders</a:t>
          </a:r>
          <a:br>
            <a:rPr lang="en-US" sz="2000" b="1" i="0" u="none" strike="noStrike" baseline="0">
              <a:solidFill>
                <a:srgbClr val="FAF9F6"/>
              </a:solidFill>
              <a:latin typeface="Calibri"/>
              <a:ea typeface="Calibri"/>
              <a:cs typeface="Calibri"/>
            </a:rPr>
          </a:br>
          <a:fld id="{A5F9C56A-A36D-4C78-9D85-5E2A86D662B6}" type="TxLink">
            <a:rPr lang="en-US" sz="2000" b="1" i="0" u="none" strike="noStrike">
              <a:solidFill>
                <a:srgbClr val="FAF9F6"/>
              </a:solidFill>
              <a:latin typeface="Calibri"/>
              <a:ea typeface="Calibri"/>
              <a:cs typeface="Calibri"/>
            </a:rPr>
            <a:t>400</a:t>
          </a:fld>
          <a:endParaRPr lang="en-US" sz="4000" b="1">
            <a:solidFill>
              <a:srgbClr val="FAF9F6"/>
            </a:solidFill>
          </a:endParaRPr>
        </a:p>
      </xdr:txBody>
    </xdr:sp>
    <xdr:clientData/>
  </xdr:twoCellAnchor>
  <xdr:twoCellAnchor editAs="absolute">
    <xdr:from>
      <xdr:col>3</xdr:col>
      <xdr:colOff>114301</xdr:colOff>
      <xdr:row>6</xdr:row>
      <xdr:rowOff>28575</xdr:rowOff>
    </xdr:from>
    <xdr:to>
      <xdr:col>11</xdr:col>
      <xdr:colOff>228601</xdr:colOff>
      <xdr:row>19</xdr:row>
      <xdr:rowOff>123825</xdr:rowOff>
    </xdr:to>
    <xdr:graphicFrame macro="">
      <xdr:nvGraphicFramePr>
        <xdr:cNvPr id="8" name="Chart 7">
          <a:extLst>
            <a:ext uri="{FF2B5EF4-FFF2-40B4-BE49-F238E27FC236}">
              <a16:creationId xmlns:a16="http://schemas.microsoft.com/office/drawing/2014/main" id="{D838E979-B272-4064-9579-4AB53D6FE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384808</xdr:colOff>
      <xdr:row>19</xdr:row>
      <xdr:rowOff>173356</xdr:rowOff>
    </xdr:from>
    <xdr:to>
      <xdr:col>18</xdr:col>
      <xdr:colOff>438149</xdr:colOff>
      <xdr:row>34</xdr:row>
      <xdr:rowOff>161925</xdr:rowOff>
    </xdr:to>
    <xdr:graphicFrame macro="">
      <xdr:nvGraphicFramePr>
        <xdr:cNvPr id="9" name="Chart 8">
          <a:extLst>
            <a:ext uri="{FF2B5EF4-FFF2-40B4-BE49-F238E27FC236}">
              <a16:creationId xmlns:a16="http://schemas.microsoft.com/office/drawing/2014/main" id="{10978A2B-483B-4993-9034-3BE90CA0A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87630</xdr:colOff>
      <xdr:row>19</xdr:row>
      <xdr:rowOff>165735</xdr:rowOff>
    </xdr:from>
    <xdr:to>
      <xdr:col>11</xdr:col>
      <xdr:colOff>304800</xdr:colOff>
      <xdr:row>34</xdr:row>
      <xdr:rowOff>173355</xdr:rowOff>
    </xdr:to>
    <xdr:graphicFrame macro="">
      <xdr:nvGraphicFramePr>
        <xdr:cNvPr id="10" name="Chart 9">
          <a:extLst>
            <a:ext uri="{FF2B5EF4-FFF2-40B4-BE49-F238E27FC236}">
              <a16:creationId xmlns:a16="http://schemas.microsoft.com/office/drawing/2014/main" id="{45AB88C5-2FEA-4992-87E5-C5A834D9C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18</xdr:col>
      <xdr:colOff>563880</xdr:colOff>
      <xdr:row>6</xdr:row>
      <xdr:rowOff>116205</xdr:rowOff>
    </xdr:from>
    <xdr:to>
      <xdr:col>25</xdr:col>
      <xdr:colOff>381000</xdr:colOff>
      <xdr:row>19</xdr:row>
      <xdr:rowOff>161925</xdr:rowOff>
    </xdr:to>
    <xdr:graphicFrame macro="">
      <xdr:nvGraphicFramePr>
        <xdr:cNvPr id="11" name="Chart 10">
          <a:extLst>
            <a:ext uri="{FF2B5EF4-FFF2-40B4-BE49-F238E27FC236}">
              <a16:creationId xmlns:a16="http://schemas.microsoft.com/office/drawing/2014/main" id="{6DDBB51D-9AE0-4FC5-9FDD-16F7E6817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285750</xdr:colOff>
      <xdr:row>6</xdr:row>
      <xdr:rowOff>125730</xdr:rowOff>
    </xdr:from>
    <xdr:to>
      <xdr:col>18</xdr:col>
      <xdr:colOff>489585</xdr:colOff>
      <xdr:row>19</xdr:row>
      <xdr:rowOff>133350</xdr:rowOff>
    </xdr:to>
    <xdr:graphicFrame macro="">
      <xdr:nvGraphicFramePr>
        <xdr:cNvPr id="12" name="Chart 11">
          <a:extLst>
            <a:ext uri="{FF2B5EF4-FFF2-40B4-BE49-F238E27FC236}">
              <a16:creationId xmlns:a16="http://schemas.microsoft.com/office/drawing/2014/main" id="{6589DFD6-290F-42A6-B9B8-76C9ECC2C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18</xdr:col>
      <xdr:colOff>466725</xdr:colOff>
      <xdr:row>20</xdr:row>
      <xdr:rowOff>9525</xdr:rowOff>
    </xdr:from>
    <xdr:to>
      <xdr:col>25</xdr:col>
      <xdr:colOff>361950</xdr:colOff>
      <xdr:row>34</xdr:row>
      <xdr:rowOff>157440</xdr:rowOff>
    </xdr:to>
    <xdr:graphicFrame macro="">
      <xdr:nvGraphicFramePr>
        <xdr:cNvPr id="13" name="Chart 12">
          <a:extLst>
            <a:ext uri="{FF2B5EF4-FFF2-40B4-BE49-F238E27FC236}">
              <a16:creationId xmlns:a16="http://schemas.microsoft.com/office/drawing/2014/main" id="{2296CBFD-1748-43DF-B3C7-22A2FE96E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200236</xdr:colOff>
      <xdr:row>6</xdr:row>
      <xdr:rowOff>3596</xdr:rowOff>
    </xdr:from>
    <xdr:to>
      <xdr:col>3</xdr:col>
      <xdr:colOff>110490</xdr:colOff>
      <xdr:row>17</xdr:row>
      <xdr:rowOff>28574</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8770EBAB-1C00-4EE7-8A98-1D3D19FB00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0236" y="1089446"/>
              <a:ext cx="1739054" cy="2015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195580</xdr:colOff>
      <xdr:row>17</xdr:row>
      <xdr:rowOff>82126</xdr:rowOff>
    </xdr:from>
    <xdr:to>
      <xdr:col>3</xdr:col>
      <xdr:colOff>82080</xdr:colOff>
      <xdr:row>28</xdr:row>
      <xdr:rowOff>104775</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4388A877-AA27-4F19-BD9F-5359B6AF71F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5580" y="3158701"/>
              <a:ext cx="1715300" cy="2013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180976</xdr:colOff>
      <xdr:row>0</xdr:row>
      <xdr:rowOff>123826</xdr:rowOff>
    </xdr:from>
    <xdr:to>
      <xdr:col>5</xdr:col>
      <xdr:colOff>276226</xdr:colOff>
      <xdr:row>5</xdr:row>
      <xdr:rowOff>99061</xdr:rowOff>
    </xdr:to>
    <xdr:sp macro="" textlink="">
      <xdr:nvSpPr>
        <xdr:cNvPr id="17" name="Rectangle 16">
          <a:extLst>
            <a:ext uri="{FF2B5EF4-FFF2-40B4-BE49-F238E27FC236}">
              <a16:creationId xmlns:a16="http://schemas.microsoft.com/office/drawing/2014/main" id="{EBFC632B-1547-D55E-A1C0-3D0A6D769701}"/>
            </a:ext>
          </a:extLst>
        </xdr:cNvPr>
        <xdr:cNvSpPr/>
      </xdr:nvSpPr>
      <xdr:spPr>
        <a:xfrm>
          <a:off x="180976" y="123826"/>
          <a:ext cx="3143250" cy="880110"/>
        </a:xfrm>
        <a:prstGeom prst="rect">
          <a:avLst/>
        </a:prstGeom>
        <a:solidFill>
          <a:srgbClr val="FAF9F6"/>
        </a:solidFill>
        <a:ln>
          <a:solidFill>
            <a:schemeClr val="tx1">
              <a:lumMod val="95000"/>
              <a:lumOff val="5000"/>
            </a:schemeClr>
          </a:solidFill>
        </a:ln>
        <a:effectLst>
          <a:glow rad="63500">
            <a:schemeClr val="tx1">
              <a:alpha val="40000"/>
            </a:schemeClr>
          </a:glow>
          <a:outerShdw blurRad="50800" dist="38100" dir="2700000" algn="tl" rotWithShape="0">
            <a:schemeClr val="tx1">
              <a:alpha val="40000"/>
            </a:scheme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b="1">
              <a:solidFill>
                <a:schemeClr val="accent1">
                  <a:lumMod val="75000"/>
                </a:schemeClr>
              </a:solidFill>
            </a:rPr>
            <a:t>Retail Performance Insights</a:t>
          </a:r>
        </a:p>
      </xdr:txBody>
    </xdr:sp>
    <xdr:clientData/>
  </xdr:twoCellAnchor>
  <xdr:twoCellAnchor editAs="absolute">
    <xdr:from>
      <xdr:col>0</xdr:col>
      <xdr:colOff>199391</xdr:colOff>
      <xdr:row>28</xdr:row>
      <xdr:rowOff>180973</xdr:rowOff>
    </xdr:from>
    <xdr:to>
      <xdr:col>3</xdr:col>
      <xdr:colOff>77341</xdr:colOff>
      <xdr:row>46</xdr:row>
      <xdr:rowOff>171450</xdr:rowOff>
    </xdr:to>
    <mc:AlternateContent xmlns:mc="http://schemas.openxmlformats.org/markup-compatibility/2006">
      <mc:Choice xmlns:a14="http://schemas.microsoft.com/office/drawing/2010/main" Requires="a14">
        <xdr:graphicFrame macro="">
          <xdr:nvGraphicFramePr>
            <xdr:cNvPr id="18" name="Sub_Category">
              <a:extLst>
                <a:ext uri="{FF2B5EF4-FFF2-40B4-BE49-F238E27FC236}">
                  <a16:creationId xmlns:a16="http://schemas.microsoft.com/office/drawing/2014/main" id="{DEFF1A11-6290-439A-9903-68B187C9596D}"/>
                </a:ext>
              </a:extLst>
            </xdr:cNvPr>
            <xdr:cNvGraphicFramePr/>
          </xdr:nvGraphicFramePr>
          <xdr:xfrm>
            <a:off x="0" y="0"/>
            <a:ext cx="0" cy="0"/>
          </xdr:xfrm>
          <a:graphic>
            <a:graphicData uri="http://schemas.microsoft.com/office/drawing/2010/slicer">
              <sle:slicer xmlns:sle="http://schemas.microsoft.com/office/drawing/2010/slicer" name="Sub_Category"/>
            </a:graphicData>
          </a:graphic>
        </xdr:graphicFrame>
      </mc:Choice>
      <mc:Fallback>
        <xdr:sp macro="" textlink="">
          <xdr:nvSpPr>
            <xdr:cNvPr id="0" name=""/>
            <xdr:cNvSpPr>
              <a:spLocks noTextEdit="1"/>
            </xdr:cNvSpPr>
          </xdr:nvSpPr>
          <xdr:spPr>
            <a:xfrm>
              <a:off x="199391" y="5248273"/>
              <a:ext cx="1706750" cy="3248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8</xdr:col>
      <xdr:colOff>95250</xdr:colOff>
      <xdr:row>1</xdr:row>
      <xdr:rowOff>0</xdr:rowOff>
    </xdr:from>
    <xdr:to>
      <xdr:col>9</xdr:col>
      <xdr:colOff>381000</xdr:colOff>
      <xdr:row>5</xdr:row>
      <xdr:rowOff>152400</xdr:rowOff>
    </xdr:to>
    <xdr:sp macro="" textlink="">
      <xdr:nvSpPr>
        <xdr:cNvPr id="1025" name="Text Box 1">
          <a:extLst>
            <a:ext uri="{FF2B5EF4-FFF2-40B4-BE49-F238E27FC236}">
              <a16:creationId xmlns:a16="http://schemas.microsoft.com/office/drawing/2014/main" id="{B3957065-ECAC-E8F9-4117-5E1E8C1E1520}"/>
            </a:ext>
          </a:extLst>
        </xdr:cNvPr>
        <xdr:cNvSpPr txBox="1">
          <a:spLocks noChangeArrowheads="1"/>
        </xdr:cNvSpPr>
      </xdr:nvSpPr>
      <xdr:spPr bwMode="auto">
        <a:xfrm>
          <a:off x="4972050" y="180975"/>
          <a:ext cx="895350" cy="87630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400" b="1" i="0" u="none" strike="noStrike" baseline="0">
              <a:solidFill>
                <a:srgbClr val="C00000"/>
              </a:solidFill>
              <a:latin typeface="Calibri"/>
              <a:ea typeface="Calibri"/>
              <a:cs typeface="Calibri"/>
            </a:rPr>
            <a:t>💰</a:t>
          </a:r>
          <a:endParaRPr lang="en-US" sz="4000" b="1" i="0" u="none" strike="noStrike" baseline="0">
            <a:solidFill>
              <a:srgbClr val="C00000"/>
            </a:solidFill>
            <a:latin typeface="Calibri"/>
            <a:ea typeface="Calibri"/>
            <a:cs typeface="Calibri"/>
          </a:endParaRPr>
        </a:p>
      </xdr:txBody>
    </xdr:sp>
    <xdr:clientData/>
  </xdr:twoCellAnchor>
  <xdr:twoCellAnchor editAs="absolute">
    <xdr:from>
      <xdr:col>13</xdr:col>
      <xdr:colOff>104775</xdr:colOff>
      <xdr:row>2</xdr:row>
      <xdr:rowOff>0</xdr:rowOff>
    </xdr:from>
    <xdr:to>
      <xdr:col>14</xdr:col>
      <xdr:colOff>47624</xdr:colOff>
      <xdr:row>5</xdr:row>
      <xdr:rowOff>114299</xdr:rowOff>
    </xdr:to>
    <xdr:sp macro="" textlink="">
      <xdr:nvSpPr>
        <xdr:cNvPr id="1027" name="Text Box 3">
          <a:extLst>
            <a:ext uri="{FF2B5EF4-FFF2-40B4-BE49-F238E27FC236}">
              <a16:creationId xmlns:a16="http://schemas.microsoft.com/office/drawing/2014/main" id="{3F8945F8-06A9-01BB-BB07-8A62718B851A}"/>
            </a:ext>
          </a:extLst>
        </xdr:cNvPr>
        <xdr:cNvSpPr txBox="1">
          <a:spLocks noChangeArrowheads="1"/>
        </xdr:cNvSpPr>
      </xdr:nvSpPr>
      <xdr:spPr bwMode="auto">
        <a:xfrm>
          <a:off x="8029575" y="361950"/>
          <a:ext cx="552449" cy="657224"/>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200" b="1" i="0" u="none" strike="noStrike" baseline="0">
              <a:solidFill>
                <a:srgbClr val="000000"/>
              </a:solidFill>
              <a:latin typeface="Calibri"/>
              <a:ea typeface="Calibri"/>
              <a:cs typeface="Calibri"/>
            </a:rPr>
            <a:t>📈</a:t>
          </a:r>
        </a:p>
      </xdr:txBody>
    </xdr:sp>
    <xdr:clientData/>
  </xdr:twoCellAnchor>
  <xdr:twoCellAnchor editAs="absolute">
    <xdr:from>
      <xdr:col>18</xdr:col>
      <xdr:colOff>95250</xdr:colOff>
      <xdr:row>1</xdr:row>
      <xdr:rowOff>123825</xdr:rowOff>
    </xdr:from>
    <xdr:to>
      <xdr:col>19</xdr:col>
      <xdr:colOff>304800</xdr:colOff>
      <xdr:row>5</xdr:row>
      <xdr:rowOff>95250</xdr:rowOff>
    </xdr:to>
    <xdr:sp macro="" textlink="">
      <xdr:nvSpPr>
        <xdr:cNvPr id="1030" name="Text Box 6">
          <a:extLst>
            <a:ext uri="{FF2B5EF4-FFF2-40B4-BE49-F238E27FC236}">
              <a16:creationId xmlns:a16="http://schemas.microsoft.com/office/drawing/2014/main" id="{A76CFEE1-2A36-51AF-611B-15CFE99C5607}"/>
            </a:ext>
          </a:extLst>
        </xdr:cNvPr>
        <xdr:cNvSpPr txBox="1">
          <a:spLocks noChangeArrowheads="1"/>
        </xdr:cNvSpPr>
      </xdr:nvSpPr>
      <xdr:spPr bwMode="auto">
        <a:xfrm>
          <a:off x="11068050" y="304800"/>
          <a:ext cx="819150" cy="69532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000" b="1" i="0" u="none" strike="noStrike" baseline="0">
              <a:solidFill>
                <a:srgbClr val="000000"/>
              </a:solidFill>
              <a:latin typeface="Calibri"/>
              <a:ea typeface="Calibri"/>
              <a:cs typeface="Calibri"/>
            </a:rPr>
            <a:t>🛒</a:t>
          </a:r>
        </a:p>
      </xdr:txBody>
    </xdr:sp>
    <xdr:clientData/>
  </xdr:twoCellAnchor>
  <xdr:twoCellAnchor editAs="absolute">
    <xdr:from>
      <xdr:col>4</xdr:col>
      <xdr:colOff>123825</xdr:colOff>
      <xdr:row>1</xdr:row>
      <xdr:rowOff>28574</xdr:rowOff>
    </xdr:from>
    <xdr:to>
      <xdr:col>5</xdr:col>
      <xdr:colOff>161925</xdr:colOff>
      <xdr:row>5</xdr:row>
      <xdr:rowOff>57149</xdr:rowOff>
    </xdr:to>
    <xdr:sp macro="" textlink="">
      <xdr:nvSpPr>
        <xdr:cNvPr id="1031" name="Text Box 7">
          <a:extLst>
            <a:ext uri="{FF2B5EF4-FFF2-40B4-BE49-F238E27FC236}">
              <a16:creationId xmlns:a16="http://schemas.microsoft.com/office/drawing/2014/main" id="{85236823-D312-8E91-1BCF-E31D8C3BB311}"/>
            </a:ext>
          </a:extLst>
        </xdr:cNvPr>
        <xdr:cNvSpPr txBox="1">
          <a:spLocks noChangeArrowheads="1"/>
        </xdr:cNvSpPr>
      </xdr:nvSpPr>
      <xdr:spPr bwMode="auto">
        <a:xfrm>
          <a:off x="2562225" y="209549"/>
          <a:ext cx="647700" cy="752475"/>
        </a:xfrm>
        <a:prstGeom prst="rect">
          <a:avLst/>
        </a:prstGeom>
        <a:noFill/>
        <a:ln w="9525">
          <a:noFill/>
          <a:miter lim="800000"/>
          <a:headEnd/>
          <a:tailEnd/>
        </a:ln>
      </xdr:spPr>
      <xdr:txBody>
        <a:bodyPr vertOverflow="clip" wrap="square" lIns="27432" tIns="27432" rIns="0" bIns="0" anchor="t" upright="1"/>
        <a:lstStyle/>
        <a:p>
          <a:pPr algn="l" rtl="0">
            <a:defRPr sz="1000"/>
          </a:pPr>
          <a:r>
            <a:rPr lang="en-US" sz="4800" b="1" i="0" u="none" strike="noStrike" baseline="0">
              <a:solidFill>
                <a:srgbClr val="000000"/>
              </a:solidFill>
              <a:latin typeface="Calibri"/>
              <a:ea typeface="Calibri"/>
              <a:cs typeface="Calibri"/>
            </a:rPr>
            <a:t>📊</a:t>
          </a:r>
        </a:p>
      </xdr:txBody>
    </xdr:sp>
    <xdr:clientData/>
  </xdr:twoCellAnchor>
  <xdr:twoCellAnchor editAs="absolute">
    <xdr:from>
      <xdr:col>22</xdr:col>
      <xdr:colOff>571500</xdr:colOff>
      <xdr:row>2</xdr:row>
      <xdr:rowOff>76200</xdr:rowOff>
    </xdr:from>
    <xdr:to>
      <xdr:col>24</xdr:col>
      <xdr:colOff>266700</xdr:colOff>
      <xdr:row>5</xdr:row>
      <xdr:rowOff>104775</xdr:rowOff>
    </xdr:to>
    <xdr:sp macro="" textlink="">
      <xdr:nvSpPr>
        <xdr:cNvPr id="1032" name="Text Box 8">
          <a:extLst>
            <a:ext uri="{FF2B5EF4-FFF2-40B4-BE49-F238E27FC236}">
              <a16:creationId xmlns:a16="http://schemas.microsoft.com/office/drawing/2014/main" id="{8F0F66DA-3F24-AE7B-5924-E1A551864623}"/>
            </a:ext>
          </a:extLst>
        </xdr:cNvPr>
        <xdr:cNvSpPr txBox="1">
          <a:spLocks noChangeArrowheads="1"/>
        </xdr:cNvSpPr>
      </xdr:nvSpPr>
      <xdr:spPr bwMode="auto">
        <a:xfrm>
          <a:off x="13982700" y="438150"/>
          <a:ext cx="914400" cy="57150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3200" b="1" i="0" u="none" strike="noStrike" baseline="0">
              <a:solidFill>
                <a:srgbClr val="000000"/>
              </a:solidFill>
              <a:latin typeface="Calibri"/>
              <a:ea typeface="Calibri"/>
              <a:cs typeface="Calibri"/>
            </a:rPr>
            <a:t>📈%</a:t>
          </a:r>
        </a:p>
      </xdr:txBody>
    </xdr:sp>
    <xdr:clientData/>
  </xdr:twoCellAnchor>
  <xdr:twoCellAnchor editAs="absolute">
    <xdr:from>
      <xdr:col>3</xdr:col>
      <xdr:colOff>142875</xdr:colOff>
      <xdr:row>35</xdr:row>
      <xdr:rowOff>19050</xdr:rowOff>
    </xdr:from>
    <xdr:to>
      <xdr:col>16</xdr:col>
      <xdr:colOff>161925</xdr:colOff>
      <xdr:row>47</xdr:row>
      <xdr:rowOff>47625</xdr:rowOff>
    </xdr:to>
    <xdr:sp macro="" textlink="">
      <xdr:nvSpPr>
        <xdr:cNvPr id="20" name="TextBox 19">
          <a:extLst>
            <a:ext uri="{FF2B5EF4-FFF2-40B4-BE49-F238E27FC236}">
              <a16:creationId xmlns:a16="http://schemas.microsoft.com/office/drawing/2014/main" id="{9F38C7E8-6F1B-9FC0-BBC7-C3E7A168163E}"/>
            </a:ext>
          </a:extLst>
        </xdr:cNvPr>
        <xdr:cNvSpPr txBox="1"/>
      </xdr:nvSpPr>
      <xdr:spPr>
        <a:xfrm>
          <a:off x="1971675" y="6353175"/>
          <a:ext cx="7943850" cy="2200275"/>
        </a:xfrm>
        <a:prstGeom prst="rect">
          <a:avLst/>
        </a:prstGeom>
        <a:solidFill>
          <a:srgbClr val="084558"/>
        </a:solidFill>
        <a:ln>
          <a:noFill/>
        </a:ln>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l"/>
          <a:r>
            <a:rPr lang="en-US" sz="2800">
              <a:solidFill>
                <a:srgbClr val="FFECEC"/>
              </a:solidFill>
            </a:rPr>
            <a:t>💡</a:t>
          </a:r>
          <a:r>
            <a:rPr lang="en-US" sz="2800" b="1">
              <a:solidFill>
                <a:srgbClr val="FFECEC"/>
              </a:solidFill>
            </a:rPr>
            <a:t>Key Business Insights</a:t>
          </a:r>
          <a:br>
            <a:rPr lang="en-US" sz="1800" b="1">
              <a:solidFill>
                <a:srgbClr val="FAF9F6"/>
              </a:solidFill>
            </a:rPr>
          </a:br>
          <a:br>
            <a:rPr lang="en-US" sz="1800" b="1">
              <a:solidFill>
                <a:srgbClr val="FAF9F6"/>
              </a:solidFill>
            </a:rPr>
          </a:br>
          <a:r>
            <a:rPr lang="en-US" sz="1800" b="1">
              <a:solidFill>
                <a:srgbClr val="FAF9F6"/>
              </a:solidFill>
            </a:rPr>
            <a:t>   Technology category generated the highest sales revenue.</a:t>
          </a:r>
          <a:br>
            <a:rPr lang="en-US" sz="1800" b="1">
              <a:solidFill>
                <a:srgbClr val="FAF9F6"/>
              </a:solidFill>
            </a:rPr>
          </a:br>
          <a:r>
            <a:rPr lang="en-US" sz="1800" b="1">
              <a:solidFill>
                <a:srgbClr val="FAF9F6"/>
              </a:solidFill>
            </a:rPr>
            <a:t>   West region achieved the maximum profitability.</a:t>
          </a:r>
          <a:br>
            <a:rPr lang="en-US" sz="1800" b="1">
              <a:solidFill>
                <a:srgbClr val="FAF9F6"/>
              </a:solidFill>
            </a:rPr>
          </a:br>
          <a:r>
            <a:rPr lang="en-US" sz="1800" b="1">
              <a:solidFill>
                <a:srgbClr val="FAF9F6"/>
              </a:solidFill>
            </a:rPr>
            <a:t>   Monthly sales showed fluctuations with peak performance in the final quarter.</a:t>
          </a:r>
          <a:br>
            <a:rPr lang="en-US" sz="1800" b="1">
              <a:solidFill>
                <a:srgbClr val="FAF9F6"/>
              </a:solidFill>
            </a:rPr>
          </a:br>
          <a:r>
            <a:rPr lang="en-US" sz="1800" b="1">
              <a:solidFill>
                <a:srgbClr val="FAF9F6"/>
              </a:solidFill>
            </a:rPr>
            <a:t>   Office Supplies category has lower profit margins and needs improvement.</a:t>
          </a:r>
          <a:endParaRPr lang="en-US" sz="1600" b="1">
            <a:solidFill>
              <a:srgbClr val="FAF9F6"/>
            </a:solidFill>
          </a:endParaRPr>
        </a:p>
      </xdr:txBody>
    </xdr:sp>
    <xdr:clientData/>
  </xdr:twoCellAnchor>
  <xdr:twoCellAnchor editAs="absolute">
    <xdr:from>
      <xdr:col>3</xdr:col>
      <xdr:colOff>133351</xdr:colOff>
      <xdr:row>40</xdr:row>
      <xdr:rowOff>47626</xdr:rowOff>
    </xdr:from>
    <xdr:to>
      <xdr:col>3</xdr:col>
      <xdr:colOff>400050</xdr:colOff>
      <xdr:row>41</xdr:row>
      <xdr:rowOff>133350</xdr:rowOff>
    </xdr:to>
    <xdr:pic>
      <xdr:nvPicPr>
        <xdr:cNvPr id="15" name="Graphic 14" descr="Chevron arrows with solid fill">
          <a:extLst>
            <a:ext uri="{FF2B5EF4-FFF2-40B4-BE49-F238E27FC236}">
              <a16:creationId xmlns:a16="http://schemas.microsoft.com/office/drawing/2014/main" id="{52E4846D-7A90-6702-94B2-2B16CD8E1E5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62151" y="7286626"/>
          <a:ext cx="266699" cy="266699"/>
        </a:xfrm>
        <a:prstGeom prst="rect">
          <a:avLst/>
        </a:prstGeom>
      </xdr:spPr>
    </xdr:pic>
    <xdr:clientData/>
  </xdr:twoCellAnchor>
  <xdr:twoCellAnchor editAs="absolute">
    <xdr:from>
      <xdr:col>3</xdr:col>
      <xdr:colOff>142876</xdr:colOff>
      <xdr:row>44</xdr:row>
      <xdr:rowOff>123826</xdr:rowOff>
    </xdr:from>
    <xdr:to>
      <xdr:col>3</xdr:col>
      <xdr:colOff>409575</xdr:colOff>
      <xdr:row>46</xdr:row>
      <xdr:rowOff>28575</xdr:rowOff>
    </xdr:to>
    <xdr:pic>
      <xdr:nvPicPr>
        <xdr:cNvPr id="19" name="Graphic 18" descr="Chevron arrows with solid fill">
          <a:extLst>
            <a:ext uri="{FF2B5EF4-FFF2-40B4-BE49-F238E27FC236}">
              <a16:creationId xmlns:a16="http://schemas.microsoft.com/office/drawing/2014/main" id="{58E0C03E-8994-4E59-9FB7-741C0849294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71676" y="8086726"/>
          <a:ext cx="266699" cy="266699"/>
        </a:xfrm>
        <a:prstGeom prst="rect">
          <a:avLst/>
        </a:prstGeom>
      </xdr:spPr>
    </xdr:pic>
    <xdr:clientData/>
  </xdr:twoCellAnchor>
  <xdr:twoCellAnchor editAs="absolute">
    <xdr:from>
      <xdr:col>3</xdr:col>
      <xdr:colOff>133351</xdr:colOff>
      <xdr:row>43</xdr:row>
      <xdr:rowOff>38101</xdr:rowOff>
    </xdr:from>
    <xdr:to>
      <xdr:col>3</xdr:col>
      <xdr:colOff>400050</xdr:colOff>
      <xdr:row>44</xdr:row>
      <xdr:rowOff>123825</xdr:rowOff>
    </xdr:to>
    <xdr:pic>
      <xdr:nvPicPr>
        <xdr:cNvPr id="21" name="Graphic 20" descr="Chevron arrows with solid fill">
          <a:extLst>
            <a:ext uri="{FF2B5EF4-FFF2-40B4-BE49-F238E27FC236}">
              <a16:creationId xmlns:a16="http://schemas.microsoft.com/office/drawing/2014/main" id="{0A593FF8-249E-42BE-8519-08E38DF497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62151" y="7820026"/>
          <a:ext cx="266699" cy="266699"/>
        </a:xfrm>
        <a:prstGeom prst="rect">
          <a:avLst/>
        </a:prstGeom>
      </xdr:spPr>
    </xdr:pic>
    <xdr:clientData/>
  </xdr:twoCellAnchor>
  <xdr:twoCellAnchor editAs="absolute">
    <xdr:from>
      <xdr:col>3</xdr:col>
      <xdr:colOff>133351</xdr:colOff>
      <xdr:row>41</xdr:row>
      <xdr:rowOff>114301</xdr:rowOff>
    </xdr:from>
    <xdr:to>
      <xdr:col>3</xdr:col>
      <xdr:colOff>400050</xdr:colOff>
      <xdr:row>43</xdr:row>
      <xdr:rowOff>19050</xdr:rowOff>
    </xdr:to>
    <xdr:pic>
      <xdr:nvPicPr>
        <xdr:cNvPr id="22" name="Graphic 21" descr="Chevron arrows with solid fill">
          <a:extLst>
            <a:ext uri="{FF2B5EF4-FFF2-40B4-BE49-F238E27FC236}">
              <a16:creationId xmlns:a16="http://schemas.microsoft.com/office/drawing/2014/main" id="{16B1CAC8-2B70-4BC4-B051-B99AAA6D53B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62151" y="7534276"/>
          <a:ext cx="266699" cy="2666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32291668" backgroundQuery="1" createdVersion="8" refreshedVersion="8" minRefreshableVersion="3" recordCount="0" supportSubquery="1" supportAdvancedDrill="1" xr:uid="{130E23AA-FAEE-4ADC-B902-1EF81D850F58}">
  <cacheSource type="external" connectionId="3"/>
  <cacheFields count="3">
    <cacheField name="[Measures].[Total Profit]" caption="Total Profit" numFmtId="0" hierarchy="31" level="32767"/>
    <cacheField name="[Dataset].[Region].[Region]" caption="Region" numFmtId="0" hierarchy="4" level="1">
      <sharedItems count="4">
        <s v="Central"/>
        <s v="East"/>
        <s v="South"/>
        <s v="West"/>
      </sharedItems>
    </cacheField>
    <cacheField name="[Dataset].[Category].[Category]" caption="Category" numFmtId="0" hierarchy="2"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2"/>
      </fieldsUsage>
    </cacheHierarchy>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1"/>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cacheHierarchy uniqueName="[Measures].[Total Order]" caption="Total Order" measure="1" displayFolder="" measureGroup="Dataset" count="0"/>
    <cacheHierarchy uniqueName="[Measures].[Total Profit]" caption="Total Profit" measure="1" displayFolder="" measureGroup="Dataset" count="0" oneField="1">
      <fieldsUsage count="1">
        <fieldUsage x="0"/>
      </fieldsUsage>
    </cacheHierarchy>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4629629" backgroundQuery="1" createdVersion="8" refreshedVersion="8" minRefreshableVersion="3" recordCount="0" supportSubquery="1" supportAdvancedDrill="1" xr:uid="{F57E0F51-2525-48B2-828E-E653E4A3D4B6}">
  <cacheSource type="external" connectionId="3"/>
  <cacheFields count="5">
    <cacheField name="[Measures].[Total Sales]" caption="Total Sales" numFmtId="0" hierarchy="29" level="32767"/>
    <cacheField name="[Measures].[Total Profit]" caption="Total Profit" numFmtId="0" hierarchy="31" level="32767"/>
    <cacheField name="[Measures].[Total Order]" caption="Total Order" numFmtId="0" hierarchy="30" level="32767"/>
    <cacheField name="[Measures].[Average of Profit Margin]" caption="Average of Profit Margin" numFmtId="0" hierarchy="28" level="32767"/>
    <cacheField name="[Dataset].[Region].[Region]" caption="Region" numFmtId="0" hierarchy="4"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2" memberValueDatatype="20" unbalanced="0"/>
    <cacheHierarchy uniqueName="[Dataset].[Order_Date]" caption="Order_Date" attribute="1" time="1" defaultMemberUniqueName="[Dataset].[Order_Date].[All]" allUniqueName="[Dataset].[Order_Date].[All]" dimensionUniqueName="[Dataset]" displayFolder="" count="2"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4"/>
      </fieldsUsage>
    </cacheHierarchy>
    <cacheHierarchy uniqueName="[Dataset].[Sales]" caption="Sales" attribute="1" defaultMemberUniqueName="[Dataset].[Sales].[All]" allUniqueName="[Dataset].[Sales].[All]" dimensionUniqueName="[Dataset]" displayFolder="" count="2" memberValueDatatype="5" unbalanced="0"/>
    <cacheHierarchy uniqueName="[Dataset].[Profit]" caption="Profit" attribute="1" defaultMemberUniqueName="[Dataset].[Profit].[All]" allUniqueName="[Dataset].[Profit].[All]" dimensionUniqueName="[Dataset]" displayFolder="" count="2" memberValueDatatype="5" unbalanced="0"/>
    <cacheHierarchy uniqueName="[Dataset].[Quantity]" caption="Quantity" attribute="1" defaultMemberUniqueName="[Dataset].[Quantity].[All]" allUniqueName="[Dataset].[Quantity].[All]" dimensionUniqueName="[Dataset]" displayFolder="" count="2" memberValueDatatype="20" unbalanced="0"/>
    <cacheHierarchy uniqueName="[Dataset].[Year]" caption="Year" attribute="1" defaultMemberUniqueName="[Dataset].[Year].[All]" allUniqueName="[Dataset].[Year].[All]" dimensionUniqueName="[Dataset]" displayFolder="" count="2" memberValueDatatype="20" unbalanced="0"/>
    <cacheHierarchy uniqueName="[Dataset].[Month]" caption="Month" attribute="1" defaultMemberUniqueName="[Dataset].[Month].[All]" allUniqueName="[Dataset].[Month].[All]" dimensionUniqueName="[Dataset]" displayFolder="" count="2" memberValueDatatype="20" unbalanced="0"/>
    <cacheHierarchy uniqueName="[Dataset].[Month Name]" caption="Month Name" attribute="1" defaultMemberUniqueName="[Dataset].[Month Name].[All]" allUniqueName="[Dataset].[Month Name].[All]" dimensionUniqueName="[Dataset]" displayFolder="" count="2" memberValueDatatype="130" unbalanced="0"/>
    <cacheHierarchy uniqueName="[Dataset].[Day Name]" caption="Day Name" attribute="1" defaultMemberUniqueName="[Dataset].[Day Name].[All]" allUniqueName="[Dataset].[Day Name].[All]" dimensionUniqueName="[Dataset]" displayFolder="" count="2" memberValueDatatype="130" unbalanced="0"/>
    <cacheHierarchy uniqueName="[Dataset].[Profit Margin]" caption="Profit Margin" attribute="1" defaultMemberUniqueName="[Dataset].[Profit Margin].[All]" allUniqueName="[Dataset].[Profit Margin].[All]" dimensionUniqueName="[Dataset]" displayFolder="" count="2" memberValueDatatype="5" unbalanced="0"/>
    <cacheHierarchy uniqueName="[Dataset 1].[Order_ID]" caption="Order_ID" attribute="1" defaultMemberUniqueName="[Dataset 1].[Order_ID].[All]" allUniqueName="[Dataset 1].[Order_ID].[All]" dimensionUniqueName="[Dataset 1]" displayFolder="" count="2" memberValueDatatype="20" unbalanced="0"/>
    <cacheHierarchy uniqueName="[Dataset 1].[Order_Date]" caption="Order_Date" attribute="1" time="1" defaultMemberUniqueName="[Dataset 1].[Order_Date].[All]" allUniqueName="[Dataset 1].[Order_Date].[All]" dimensionUniqueName="[Dataset 1]" displayFolder="" count="2" memberValueDatatype="7" unbalanced="0"/>
    <cacheHierarchy uniqueName="[Dataset 1].[Category]" caption="Category" attribute="1" defaultMemberUniqueName="[Dataset 1].[Category].[All]" allUniqueName="[Dataset 1].[Category].[All]" dimensionUniqueName="[Dataset 1]" displayFolder="" count="2" memberValueDatatype="130" unbalanced="0"/>
    <cacheHierarchy uniqueName="[Dataset 1].[Sub_Category]" caption="Sub_Category" attribute="1" defaultMemberUniqueName="[Dataset 1].[Sub_Category].[All]" allUniqueName="[Dataset 1].[Sub_Category].[All]" dimensionUniqueName="[Dataset 1]" displayFolder="" count="2" memberValueDatatype="130" unbalanced="0"/>
    <cacheHierarchy uniqueName="[Dataset 1].[Region]" caption="Region" attribute="1" defaultMemberUniqueName="[Dataset 1].[Region].[All]" allUniqueName="[Dataset 1].[Region].[All]" dimensionUniqueName="[Dataset 1]" displayFolder="" count="2" memberValueDatatype="130" unbalanced="0"/>
    <cacheHierarchy uniqueName="[Dataset 1].[Sales]" caption="Sales" attribute="1" defaultMemberUniqueName="[Dataset 1].[Sales].[All]" allUniqueName="[Dataset 1].[Sales].[All]" dimensionUniqueName="[Dataset 1]" displayFolder="" count="2" memberValueDatatype="5" unbalanced="0"/>
    <cacheHierarchy uniqueName="[Dataset 1].[Profit]" caption="Profit" attribute="1" defaultMemberUniqueName="[Dataset 1].[Profit].[All]" allUniqueName="[Dataset 1].[Profit].[All]" dimensionUniqueName="[Dataset 1]" displayFolder="" count="2" memberValueDatatype="5" unbalanced="0"/>
    <cacheHierarchy uniqueName="[Dataset 1].[Quantity]" caption="Quantity" attribute="1" defaultMemberUniqueName="[Dataset 1].[Quantity].[All]" allUniqueName="[Dataset 1].[Quantity].[All]" dimensionUniqueName="[Dataset 1]" displayFolder="" count="2" memberValueDatatype="20" unbalanced="0"/>
    <cacheHierarchy uniqueName="[Dataset 1].[Year]" caption="Year" attribute="1" defaultMemberUniqueName="[Dataset 1].[Year].[All]" allUniqueName="[Dataset 1].[Year].[All]" dimensionUniqueName="[Dataset 1]" displayFolder="" count="2" memberValueDatatype="20" unbalanced="0"/>
    <cacheHierarchy uniqueName="[Dataset 1].[Month]" caption="Month" attribute="1" defaultMemberUniqueName="[Dataset 1].[Month].[All]" allUniqueName="[Dataset 1].[Month].[All]" dimensionUniqueName="[Dataset 1]" displayFolder="" count="2" memberValueDatatype="20" unbalanced="0"/>
    <cacheHierarchy uniqueName="[Dataset 1].[Month Name]" caption="Month Name" attribute="1" defaultMemberUniqueName="[Dataset 1].[Month Name].[All]" allUniqueName="[Dataset 1].[Month Name].[All]" dimensionUniqueName="[Dataset 1]" displayFolder="" count="2" memberValueDatatype="130" unbalanced="0"/>
    <cacheHierarchy uniqueName="[Dataset 1].[Day Name]" caption="Day Name" attribute="1" defaultMemberUniqueName="[Dataset 1].[Day Name].[All]" allUniqueName="[Dataset 1].[Day Name].[All]" dimensionUniqueName="[Dataset 1]" displayFolder="" count="2" memberValueDatatype="130" unbalanced="0"/>
    <cacheHierarchy uniqueName="[Dataset 1].[Profit Margin]" caption="Profit Margin" attribute="1" defaultMemberUniqueName="[Dataset 1].[Profit Margin].[All]" allUniqueName="[Dataset 1].[Profit Margin].[All]" dimensionUniqueName="[Dataset 1]" displayFolder="" count="2"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oneField="1">
      <fieldsUsage count="1">
        <fieldUsage x="3"/>
      </fieldsUsage>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oneField="1">
      <fieldsUsage count="1">
        <fieldUsage x="0"/>
      </fieldsUsage>
    </cacheHierarchy>
    <cacheHierarchy uniqueName="[Measures].[Total Order]" caption="Total Order" measure="1" displayFolder="" measureGroup="Dataset" count="0" oneField="1">
      <fieldsUsage count="1">
        <fieldUsage x="2"/>
      </fieldsUsage>
    </cacheHierarchy>
    <cacheHierarchy uniqueName="[Measures].[Total Profit]" caption="Total Profit" measure="1" displayFolder="" measureGroup="Dataset" count="0" oneField="1">
      <fieldsUsage count="1">
        <fieldUsage x="1"/>
      </fieldsUsage>
    </cacheHierarchy>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4976853" backgroundQuery="1" createdVersion="8" refreshedVersion="8" minRefreshableVersion="3" recordCount="0" supportSubquery="1" supportAdvancedDrill="1" xr:uid="{5724DF87-9875-45AC-85FE-2519D97B3ECD}">
  <cacheSource type="external" connectionId="3"/>
  <cacheFields count="3">
    <cacheField name="[Measures].[Total Sales]" caption="Total Sales" numFmtId="0" hierarchy="29" level="32767"/>
    <cacheField name="[Dataset].[Category].[Category]" caption="Category" numFmtId="0" hierarchy="2" level="1">
      <sharedItems count="3">
        <s v="Furniture"/>
        <s v="Office Supplies"/>
        <s v="Technology"/>
      </sharedItems>
    </cacheField>
    <cacheField name="[Dataset].[Region].[Region]" caption="Region" numFmtId="0" hierarchy="4"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2"/>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oneField="1">
      <fieldsUsage count="1">
        <fieldUsage x="0"/>
      </fieldsUsage>
    </cacheHierarchy>
    <cacheHierarchy uniqueName="[Measures].[Total Order]" caption="Total Order" measure="1" displayFolder="" measureGroup="Dataset" count="0"/>
    <cacheHierarchy uniqueName="[Measures].[Total Profit]" caption="Total Profit" measure="1" displayFolder="" measureGroup="Dataset" count="0"/>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5324076" backgroundQuery="1" createdVersion="8" refreshedVersion="8" minRefreshableVersion="3" recordCount="0" supportSubquery="1" supportAdvancedDrill="1" xr:uid="{B4F18352-9E2A-4351-BFE1-32835D62151B}">
  <cacheSource type="external" connectionId="3"/>
  <cacheFields count="3">
    <cacheField name="[Measures].[Total Sales]" caption="Total Sales" numFmtId="0" hierarchy="29" level="32767"/>
    <cacheField name="[Dataset].[Month Name].[Month Name]" caption="Month Name" numFmtId="0" hierarchy="10" level="1">
      <sharedItems count="12">
        <s v="January"/>
        <s v="February"/>
        <s v="March"/>
        <s v="April"/>
        <s v="May"/>
        <s v="June"/>
        <s v="July"/>
        <s v="August"/>
        <s v="September"/>
        <s v="October"/>
        <s v="November"/>
        <s v="December"/>
      </sharedItems>
    </cacheField>
    <cacheField name="[Dataset].[Region].[Region]" caption="Region" numFmtId="0" hierarchy="4"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2"/>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2" memberValueDatatype="130" unbalanced="0">
      <fieldsUsage count="2">
        <fieldUsage x="-1"/>
        <fieldUsage x="1"/>
      </fieldsUsage>
    </cacheHierarchy>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oneField="1">
      <fieldsUsage count="1">
        <fieldUsage x="0"/>
      </fieldsUsage>
    </cacheHierarchy>
    <cacheHierarchy uniqueName="[Measures].[Total Order]" caption="Total Order" measure="1" displayFolder="" measureGroup="Dataset" count="0"/>
    <cacheHierarchy uniqueName="[Measures].[Total Profit]" caption="Total Profit" measure="1" displayFolder="" measureGroup="Dataset" count="0"/>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5671299" backgroundQuery="1" createdVersion="8" refreshedVersion="8" minRefreshableVersion="3" recordCount="0" supportSubquery="1" supportAdvancedDrill="1" xr:uid="{13527062-0023-40FB-98E8-181D34B3DDAF}">
  <cacheSource type="external" connectionId="3"/>
  <cacheFields count="3">
    <cacheField name="[Measures].[Total Sales]" caption="Total Sales" numFmtId="0" hierarchy="29" level="32767"/>
    <cacheField name="[Dataset].[Order_ID].[Order_ID]" caption="Order_ID" numFmtId="0" level="1">
      <sharedItems containsSemiMixedTypes="0" containsString="0" containsNumber="1" containsInteger="1" minValue="1001" maxValue="1005" count="5">
        <n v="1001"/>
        <n v="1002"/>
        <n v="1003"/>
        <n v="1004"/>
        <n v="1005"/>
      </sharedItems>
      <extLst>
        <ext xmlns:x15="http://schemas.microsoft.com/office/spreadsheetml/2010/11/main" uri="{4F2E5C28-24EA-4eb8-9CBF-B6C8F9C3D259}">
          <x15:cachedUniqueNames>
            <x15:cachedUniqueName index="0" name="[Dataset].[Order_ID].&amp;[1001]"/>
            <x15:cachedUniqueName index="1" name="[Dataset].[Order_ID].&amp;[1002]"/>
            <x15:cachedUniqueName index="2" name="[Dataset].[Order_ID].&amp;[1003]"/>
            <x15:cachedUniqueName index="3" name="[Dataset].[Order_ID].&amp;[1004]"/>
            <x15:cachedUniqueName index="4" name="[Dataset].[Order_ID].&amp;[1005]"/>
          </x15:cachedUniqueNames>
        </ext>
      </extLst>
    </cacheField>
    <cacheField name="[Dataset].[Region].[Region]" caption="Region" numFmtId="0" hierarchy="4"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2" memberValueDatatype="20" unbalanced="0">
      <fieldsUsage count="2">
        <fieldUsage x="-1"/>
        <fieldUsage x="1"/>
      </fieldsUsage>
    </cacheHierarchy>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2"/>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oneField="1">
      <fieldsUsage count="1">
        <fieldUsage x="0"/>
      </fieldsUsage>
    </cacheHierarchy>
    <cacheHierarchy uniqueName="[Measures].[Total Order]" caption="Total Order" measure="1" displayFolder="" measureGroup="Dataset" count="0"/>
    <cacheHierarchy uniqueName="[Measures].[Total Profit]" caption="Total Profit" measure="1" displayFolder="" measureGroup="Dataset" count="0"/>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6018515" backgroundQuery="1" createdVersion="8" refreshedVersion="8" minRefreshableVersion="3" recordCount="0" supportSubquery="1" supportAdvancedDrill="1" xr:uid="{BDF25DA3-1EF4-4056-A8B5-C2FBB9EC9D64}">
  <cacheSource type="external" connectionId="3"/>
  <cacheFields count="4">
    <cacheField name="[Dataset].[Order_ID].[Order_ID]" caption="Order_ID" numFmtId="0" level="1">
      <sharedItems containsSemiMixedTypes="0" containsString="0" containsNumber="1" containsInteger="1" minValue="1001" maxValue="1005" count="5">
        <n v="1001"/>
        <n v="1002"/>
        <n v="1003"/>
        <n v="1004"/>
        <n v="1005"/>
      </sharedItems>
      <extLst>
        <ext xmlns:x15="http://schemas.microsoft.com/office/spreadsheetml/2010/11/main" uri="{4F2E5C28-24EA-4eb8-9CBF-B6C8F9C3D259}">
          <x15:cachedUniqueNames>
            <x15:cachedUniqueName index="0" name="[Dataset].[Order_ID].&amp;[1001]"/>
            <x15:cachedUniqueName index="1" name="[Dataset].[Order_ID].&amp;[1002]"/>
            <x15:cachedUniqueName index="2" name="[Dataset].[Order_ID].&amp;[1003]"/>
            <x15:cachedUniqueName index="3" name="[Dataset].[Order_ID].&amp;[1004]"/>
            <x15:cachedUniqueName index="4" name="[Dataset].[Order_ID].&amp;[1005]"/>
          </x15:cachedUniqueNames>
        </ext>
      </extLst>
    </cacheField>
    <cacheField name="[Dataset].[Sub_Category].[Sub_Category]" caption="Sub_Category" numFmtId="0" hierarchy="3" level="1">
      <sharedItems count="6">
        <s v="Accessories"/>
        <s v="Binders"/>
        <s v="Chairs"/>
        <s v="Paper"/>
        <s v="Phones"/>
        <s v="Tables"/>
      </sharedItems>
    </cacheField>
    <cacheField name="[Measures].[Average of Profit Margin]" caption="Average of Profit Margin" numFmtId="0" hierarchy="28" level="32767"/>
    <cacheField name="[Dataset].[Region].[Region]" caption="Region" numFmtId="0" hierarchy="4" level="1">
      <sharedItems containsSemiMixedTypes="0" containsNonDate="0" containsString="0"/>
    </cacheField>
  </cacheFields>
  <cacheHierarchies count="36">
    <cacheHierarchy uniqueName="[Dataset].[Order_ID]" caption="Order_ID" attribute="1" defaultMemberUniqueName="[Dataset].[Order_ID].[All]" allUniqueName="[Dataset].[Order_ID].[All]" dimensionUniqueName="[Dataset]" displayFolder="" count="2" memberValueDatatype="20" unbalanced="0">
      <fieldsUsage count="2">
        <fieldUsage x="-1"/>
        <fieldUsage x="0"/>
      </fieldsUsage>
    </cacheHierarchy>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fieldsUsage count="2">
        <fieldUsage x="-1"/>
        <fieldUsage x="1"/>
      </fieldsUsage>
    </cacheHierarchy>
    <cacheHierarchy uniqueName="[Dataset].[Region]" caption="Region" attribute="1" defaultMemberUniqueName="[Dataset].[Region].[All]" allUniqueName="[Dataset].[Region].[All]" dimensionUniqueName="[Dataset]" displayFolder="" count="2" memberValueDatatype="130" unbalanced="0">
      <fieldsUsage count="2">
        <fieldUsage x="-1"/>
        <fieldUsage x="3"/>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oneField="1">
      <fieldsUsage count="1">
        <fieldUsage x="2"/>
      </fieldsUsage>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cacheHierarchy uniqueName="[Measures].[Total Order]" caption="Total Order" measure="1" displayFolder="" measureGroup="Dataset" count="0"/>
    <cacheHierarchy uniqueName="[Measures].[Total Profit]" caption="Total Profit" measure="1" displayFolder="" measureGroup="Dataset" count="0"/>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667656481484" backgroundQuery="1" createdVersion="8" refreshedVersion="8" minRefreshableVersion="3" recordCount="0" supportSubquery="1" supportAdvancedDrill="1" xr:uid="{D3ADE834-D163-401A-99A6-83A884D2A2DB}">
  <cacheSource type="external" connectionId="3"/>
  <cacheFields count="4">
    <cacheField name="[Measures].[Total Sales]" caption="Total Sales" numFmtId="0" hierarchy="29" level="32767"/>
    <cacheField name="[Dataset].[Order_ID].[Order_ID]" caption="Order_ID" numFmtId="0" level="1">
      <sharedItems containsSemiMixedTypes="0" containsString="0" containsNumber="1" containsInteger="1" minValue="1001" maxValue="1005" count="5">
        <n v="1001"/>
        <n v="1002"/>
        <n v="1003"/>
        <n v="1004"/>
        <n v="1005"/>
      </sharedItems>
      <extLst>
        <ext xmlns:x15="http://schemas.microsoft.com/office/spreadsheetml/2010/11/main" uri="{4F2E5C28-24EA-4eb8-9CBF-B6C8F9C3D259}">
          <x15:cachedUniqueNames>
            <x15:cachedUniqueName index="0" name="[Dataset].[Order_ID].&amp;[1001]"/>
            <x15:cachedUniqueName index="1" name="[Dataset].[Order_ID].&amp;[1002]"/>
            <x15:cachedUniqueName index="2" name="[Dataset].[Order_ID].&amp;[1003]"/>
            <x15:cachedUniqueName index="3" name="[Dataset].[Order_ID].&amp;[1004]"/>
            <x15:cachedUniqueName index="4" name="[Dataset].[Order_ID].&amp;[1005]"/>
          </x15:cachedUniqueNames>
        </ext>
      </extLst>
    </cacheField>
    <cacheField name="[Measures].[Total Profit]" caption="Total Profit" numFmtId="0" hierarchy="31" level="32767"/>
    <cacheField name="[Dataset].[Region].[Region]" caption="Region" numFmtId="0" hierarchy="4" level="1">
      <sharedItems count="4">
        <s v="Central"/>
        <s v="East"/>
        <s v="South"/>
        <s v="West"/>
      </sharedItems>
    </cacheField>
  </cacheFields>
  <cacheHierarchies count="36">
    <cacheHierarchy uniqueName="[Dataset].[Order_ID]" caption="Order_ID" attribute="1" defaultMemberUniqueName="[Dataset].[Order_ID].[All]" allUniqueName="[Dataset].[Order_ID].[All]" dimensionUniqueName="[Dataset]" displayFolder="" count="2" memberValueDatatype="20" unbalanced="0">
      <fieldsUsage count="2">
        <fieldUsage x="-1"/>
        <fieldUsage x="1"/>
      </fieldsUsage>
    </cacheHierarchy>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3"/>
      </fieldsUsage>
    </cacheHierarchy>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0"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oneField="1">
      <fieldsUsage count="1">
        <fieldUsage x="0"/>
      </fieldsUsage>
    </cacheHierarchy>
    <cacheHierarchy uniqueName="[Measures].[Total Order]" caption="Total Order" measure="1" displayFolder="" measureGroup="Dataset" count="0"/>
    <cacheHierarchy uniqueName="[Measures].[Total Profit]" caption="Total Profit" measure="1" displayFolder="" measureGroup="Dataset" count="0" oneField="1">
      <fieldsUsage count="1">
        <fieldUsage x="2"/>
      </fieldsUsage>
    </cacheHierarchy>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dimensions count="3">
    <dimension name="Dataset" uniqueName="[Dataset]" caption="Dataset"/>
    <dimension name="Dataset 1" uniqueName="[Dataset 1]" caption="Dataset 1"/>
    <dimension measure="1" name="Measures" uniqueName="[Measures]" caption="Measures"/>
  </dimensions>
  <measureGroups count="2">
    <measureGroup name="Dataset" caption="Dataset"/>
    <measureGroup name="Dataset 1" caption="Dataset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Saini" refreshedDate="46182.378740046297" backgroundQuery="1" createdVersion="3" refreshedVersion="8" minRefreshableVersion="3" recordCount="0" supportSubquery="1" supportAdvancedDrill="1" xr:uid="{AAE7D724-724B-488C-9580-FB769D3CB99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set].[Order_ID]" caption="Order_ID" attribute="1" defaultMemberUniqueName="[Dataset].[Order_ID].[All]" allUniqueName="[Dataset].[Order_ID].[All]" dimensionUniqueName="[Dataset]" displayFolder="" count="0" memberValueDatatype="20" unbalanced="0"/>
    <cacheHierarchy uniqueName="[Dataset].[Order_Date]" caption="Order_Date" attribute="1" time="1" defaultMemberUniqueName="[Dataset].[Order_Date].[All]" allUniqueName="[Dataset].[Order_Date].[All]" dimensionUniqueName="[Dataset]" displayFolder="" count="0" memberValueDatatype="7" unbalanced="0"/>
    <cacheHierarchy uniqueName="[Dataset].[Category]" caption="Category" attribute="1" defaultMemberUniqueName="[Dataset].[Category].[All]" allUniqueName="[Dataset].[Category].[All]" dimensionUniqueName="[Dataset]" displayFolder="" count="2" memberValueDatatype="130" unbalanced="0"/>
    <cacheHierarchy uniqueName="[Dataset].[Sub_Category]" caption="Sub_Category" attribute="1" defaultMemberUniqueName="[Dataset].[Sub_Category].[All]" allUniqueName="[Dataset].[Sub_Category].[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Sales]" caption="Sales" attribute="1" defaultMemberUniqueName="[Dataset].[Sales].[All]" allUniqueName="[Dataset].[Sales].[All]" dimensionUniqueName="[Dataset]" displayFolder="" count="0" memberValueDatatype="5" unbalanced="0"/>
    <cacheHierarchy uniqueName="[Dataset].[Profit]" caption="Profit" attribute="1" defaultMemberUniqueName="[Dataset].[Profit].[All]" allUniqueName="[Dataset].[Profit].[All]" dimensionUniqueName="[Dataset]" displayFolder="" count="0" memberValueDatatype="5" unbalanced="0"/>
    <cacheHierarchy uniqueName="[Dataset].[Quantity]" caption="Quantity" attribute="1" defaultMemberUniqueName="[Dataset].[Quantity].[All]" allUniqueName="[Dataset].[Quantity].[All]" dimensionUniqueName="[Dataset]" displayFolder="" count="0" memberValueDatatype="20" unbalanced="0"/>
    <cacheHierarchy uniqueName="[Dataset].[Year]" caption="Year" attribute="1" defaultMemberUniqueName="[Dataset].[Year].[All]" allUniqueName="[Dataset].[Year].[All]" dimensionUniqueName="[Dataset]" displayFolder="" count="2" memberValueDatatype="20" unbalanced="0"/>
    <cacheHierarchy uniqueName="[Dataset].[Month]" caption="Month" attribute="1" defaultMemberUniqueName="[Dataset].[Month].[All]" allUniqueName="[Dataset].[Month].[All]" dimensionUniqueName="[Dataset]" displayFolder="" count="0" memberValueDatatype="20" unbalanced="0"/>
    <cacheHierarchy uniqueName="[Dataset].[Month Name]" caption="Month Name" attribute="1" defaultMemberUniqueName="[Dataset].[Month Name].[All]" allUniqueName="[Dataset].[Month Name].[All]" dimensionUniqueName="[Dataset]" displayFolder="" count="0" memberValueDatatype="130" unbalanced="0"/>
    <cacheHierarchy uniqueName="[Dataset].[Day Name]" caption="Day Name" attribute="1" defaultMemberUniqueName="[Dataset].[Day Name].[All]" allUniqueName="[Dataset].[Day Name].[All]" dimensionUniqueName="[Dataset]" displayFolder="" count="0" memberValueDatatype="130" unbalanced="0"/>
    <cacheHierarchy uniqueName="[Dataset].[Profit Margin]" caption="Profit Margin" attribute="1" defaultMemberUniqueName="[Dataset].[Profit Margin].[All]" allUniqueName="[Dataset].[Profit Margin].[All]" dimensionUniqueName="[Dataset]" displayFolder="" count="0" memberValueDatatype="5" unbalanced="0"/>
    <cacheHierarchy uniqueName="[Dataset 1].[Order_ID]" caption="Order_ID" attribute="1" defaultMemberUniqueName="[Dataset 1].[Order_ID].[All]" allUniqueName="[Dataset 1].[Order_ID].[All]" dimensionUniqueName="[Dataset 1]" displayFolder="" count="0" memberValueDatatype="20" unbalanced="0"/>
    <cacheHierarchy uniqueName="[Dataset 1].[Order_Date]" caption="Order_Date" attribute="1" time="1" defaultMemberUniqueName="[Dataset 1].[Order_Date].[All]" allUniqueName="[Dataset 1].[Order_Date].[All]" dimensionUniqueName="[Dataset 1]" displayFolder="" count="0" memberValueDatatype="7" unbalanced="0"/>
    <cacheHierarchy uniqueName="[Dataset 1].[Category]" caption="Category" attribute="1" defaultMemberUniqueName="[Dataset 1].[Category].[All]" allUniqueName="[Dataset 1].[Category].[All]" dimensionUniqueName="[Dataset 1]" displayFolder="" count="0" memberValueDatatype="130" unbalanced="0"/>
    <cacheHierarchy uniqueName="[Dataset 1].[Sub_Category]" caption="Sub_Category" attribute="1" defaultMemberUniqueName="[Dataset 1].[Sub_Category].[All]" allUniqueName="[Dataset 1].[Sub_Category].[All]" dimensionUniqueName="[Dataset 1]" displayFolder="" count="0" memberValueDatatype="130" unbalanced="0"/>
    <cacheHierarchy uniqueName="[Dataset 1].[Region]" caption="Region" attribute="1" defaultMemberUniqueName="[Dataset 1].[Region].[All]" allUniqueName="[Dataset 1].[Region].[All]" dimensionUniqueName="[Dataset 1]" displayFolder="" count="0" memberValueDatatype="130" unbalanced="0"/>
    <cacheHierarchy uniqueName="[Dataset 1].[Sales]" caption="Sales" attribute="1" defaultMemberUniqueName="[Dataset 1].[Sales].[All]" allUniqueName="[Dataset 1].[Sales].[All]" dimensionUniqueName="[Dataset 1]" displayFolder="" count="0" memberValueDatatype="5" unbalanced="0"/>
    <cacheHierarchy uniqueName="[Dataset 1].[Profit]" caption="Profit" attribute="1" defaultMemberUniqueName="[Dataset 1].[Profit].[All]" allUniqueName="[Dataset 1].[Profit].[All]" dimensionUniqueName="[Dataset 1]" displayFolder="" count="0" memberValueDatatype="5" unbalanced="0"/>
    <cacheHierarchy uniqueName="[Dataset 1].[Quantity]" caption="Quantity" attribute="1" defaultMemberUniqueName="[Dataset 1].[Quantity].[All]" allUniqueName="[Dataset 1].[Quantity].[All]" dimensionUniqueName="[Dataset 1]" displayFolder="" count="0" memberValueDatatype="20" unbalanced="0"/>
    <cacheHierarchy uniqueName="[Dataset 1].[Year]" caption="Year" attribute="1" defaultMemberUniqueName="[Dataset 1].[Year].[All]" allUniqueName="[Dataset 1].[Year].[All]" dimensionUniqueName="[Dataset 1]" displayFolder="" count="0" memberValueDatatype="20" unbalanced="0"/>
    <cacheHierarchy uniqueName="[Dataset 1].[Month]" caption="Month" attribute="1" defaultMemberUniqueName="[Dataset 1].[Month].[All]" allUniqueName="[Dataset 1].[Month].[All]" dimensionUniqueName="[Dataset 1]" displayFolder="" count="0" memberValueDatatype="20" unbalanced="0"/>
    <cacheHierarchy uniqueName="[Dataset 1].[Month Name]" caption="Month Name" attribute="1" defaultMemberUniqueName="[Dataset 1].[Month Name].[All]" allUniqueName="[Dataset 1].[Month Name].[All]" dimensionUniqueName="[Dataset 1]" displayFolder="" count="0" memberValueDatatype="130" unbalanced="0"/>
    <cacheHierarchy uniqueName="[Dataset 1].[Day Name]" caption="Day Name" attribute="1" defaultMemberUniqueName="[Dataset 1].[Day Name].[All]" allUniqueName="[Dataset 1].[Day Name].[All]" dimensionUniqueName="[Dataset 1]" displayFolder="" count="0" memberValueDatatype="130" unbalanced="0"/>
    <cacheHierarchy uniqueName="[Dataset 1].[Profit Margin]" caption="Profit Margin" attribute="1" defaultMemberUniqueName="[Dataset 1].[Profit Margin].[All]" allUniqueName="[Dataset 1].[Profit Margin].[All]" dimensionUniqueName="[Dataset 1]" displayFolder="" count="0" memberValueDatatype="5" unbalanced="0"/>
    <cacheHierarchy uniqueName="[Measures].[Sum of Sales]" caption="Sum of Sales" measure="1" displayFolder="" measureGroup="Dataset 1" count="0">
      <extLst>
        <ext xmlns:x15="http://schemas.microsoft.com/office/spreadsheetml/2010/11/main" uri="{B97F6D7D-B522-45F9-BDA1-12C45D357490}">
          <x15:cacheHierarchy aggregatedColumn="18"/>
        </ext>
      </extLst>
    </cacheHierarchy>
    <cacheHierarchy uniqueName="[Measures].[Sum of Profit Margin]" caption="Sum of Profit Margin" measure="1" displayFolder="" measureGroup="Dataset" count="0">
      <extLst>
        <ext xmlns:x15="http://schemas.microsoft.com/office/spreadsheetml/2010/11/main" uri="{B97F6D7D-B522-45F9-BDA1-12C45D357490}">
          <x15:cacheHierarchy aggregatedColumn="12"/>
        </ext>
      </extLst>
    </cacheHierarchy>
    <cacheHierarchy uniqueName="[Measures].[Average of Profit Margin]" caption="Average of Profit Margin" measure="1" displayFolder="" measureGroup="Dataset" count="0">
      <extLst>
        <ext xmlns:x15="http://schemas.microsoft.com/office/spreadsheetml/2010/11/main" uri="{B97F6D7D-B522-45F9-BDA1-12C45D357490}">
          <x15:cacheHierarchy aggregatedColumn="12"/>
        </ext>
      </extLst>
    </cacheHierarchy>
    <cacheHierarchy uniqueName="[Measures].[Total Sales]" caption="Total Sales" measure="1" displayFolder="" measureGroup="Dataset" count="0"/>
    <cacheHierarchy uniqueName="[Measures].[Total Order]" caption="Total Order" measure="1" displayFolder="" measureGroup="Dataset" count="0"/>
    <cacheHierarchy uniqueName="[Measures].[Total Profit]" caption="Total Profit" measure="1" displayFolder="" measureGroup="Dataset" count="0"/>
    <cacheHierarchy uniqueName="[Measures].[Total Profit Margin]" caption="Total Profit Margin" measure="1" displayFolder="" measureGroup="Dataset" count="0"/>
    <cacheHierarchy uniqueName="[Measures].[__XL_Count Dataset]" caption="__XL_Count Dataset" measure="1" displayFolder="" measureGroup="Dataset" count="0" hidden="1"/>
    <cacheHierarchy uniqueName="[Measures].[__XL_Count Dataset 1]" caption="__XL_Count Dataset 1" measure="1" displayFolder="" measureGroup="Dataset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86183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A2D5E0-2F6A-415D-ADD1-9292782A0089}" name="PivotTable4" cacheId="1870" applyNumberFormats="0" applyBorderFormats="0" applyFontFormats="0" applyPatternFormats="0" applyAlignmentFormats="0" applyWidthHeightFormats="1" dataCaption="Values" tag="619fb202-609a-40b8-a4b7-33a9ca282261" updatedVersion="8" minRefreshableVersion="3" useAutoFormatting="1" itemPrintTitles="1" createdVersion="8" indent="0" outline="1" outlineData="1" multipleFieldFilters="0" chartFormat="5">
  <location ref="H3:I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B37155-B82B-4FD0-AEF4-9A74FE6C4264}" name="PivotTable1" cacheId="1882" applyNumberFormats="0" applyBorderFormats="0" applyFontFormats="0" applyPatternFormats="0" applyAlignmentFormats="0" applyWidthHeightFormats="1" dataCaption="Values" tag="6a7b0f4c-f5a9-4ddc-bd61-47a8c7c48405" updatedVersion="8" minRefreshableVersion="3" useAutoFormatting="1" subtotalHiddenItems="1" itemPrintTitles="1" createdVersion="8" indent="0" outline="1" outlineData="1" multipleFieldFilters="0" rowHeaderCaption="Category">
  <location ref="C34:F35"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64"/>
    <dataField fld="2" subtotal="count" baseField="0" baseItem="0"/>
    <dataField name="Avg Profit Margin" fld="3" subtotal="average" baseField="0" baseItem="3"/>
  </dataFields>
  <formats count="1">
    <format dxfId="125">
      <pivotArea outline="0" collapsedLevelsAreSubtotals="1" fieldPosition="0">
        <references count="1">
          <reference field="4294967294" count="1" selected="0">
            <x v="1"/>
          </reference>
        </references>
      </pivotArea>
    </format>
  </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Profit Margin"/>
    <pivotHierarchy dragToRow="0" dragToCol="0" dragToPage="0" dragToData="1"/>
    <pivotHierarchy dragToRow="0" dragToCol="0" dragToPage="0" dragToData="1"/>
    <pivotHierarchy dragToRow="0" dragToCol="0" dragToPage="0" dragToData="1"/>
    <pivotHierarchy dragToRow="0" dragToCol="0" dragToPage="0" dragToData="1" caption="Profit Margin"/>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3BB82-407C-4B1A-95CA-46C57ABF7328}" name="PivotTable8" cacheId="1894" applyNumberFormats="0" applyBorderFormats="0" applyFontFormats="0" applyPatternFormats="0" applyAlignmentFormats="0" applyWidthHeightFormats="1" dataCaption="Values" tag="047f871d-0544-463f-8f06-d0bf6cf9a650" updatedVersion="8" minRefreshableVersion="3" useAutoFormatting="1" itemPrintTitles="1" createdVersion="8" indent="0" outline="1" outlineData="1" multipleFieldFilters="0" chartFormat="4">
  <location ref="H20:I27"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Average of Profit Margin" fld="2" subtotal="average" baseField="1" baseItem="0"/>
  </dataFields>
  <formats count="4">
    <format dxfId="129">
      <pivotArea dataOnly="0" labelOnly="1" outline="0" axis="axisValues" fieldPosition="0"/>
    </format>
    <format dxfId="128">
      <pivotArea outline="0" collapsedLevelsAreSubtotals="1" fieldPosition="0"/>
    </format>
    <format dxfId="127">
      <pivotArea collapsedLevelsAreSubtotals="1" fieldPosition="0">
        <references count="1">
          <reference field="1" count="1">
            <x v="0"/>
          </reference>
        </references>
      </pivotArea>
    </format>
    <format dxfId="126">
      <pivotArea dataOnly="0" labelOnly="1"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EDA312-5136-465F-B1E8-6241E7A05FB3}" name="PivotTable6" cacheId="1891" applyNumberFormats="0" applyBorderFormats="0" applyFontFormats="0" applyPatternFormats="0" applyAlignmentFormats="0" applyWidthHeightFormats="1" dataCaption="Values" tag="0f8791d3-2eba-492f-8175-5f30602705b5" updatedVersion="8" minRefreshableVersion="3" useAutoFormatting="1" itemPrintTitles="1" createdVersion="8" indent="0" outline="1" outlineData="1" multipleFieldFilters="0" chartFormat="5">
  <location ref="L3:M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800736-B123-4C59-BFEE-23D0334310A1}" name="PivotTable7" cacheId="1897" applyNumberFormats="0" applyBorderFormats="0" applyFontFormats="0" applyPatternFormats="0" applyAlignmentFormats="0" applyWidthHeightFormats="1" dataCaption="Values" tag="93a20a6a-ae4c-481f-92ea-225cfa385026" updatedVersion="8" minRefreshableVersion="3" useAutoFormatting="1" itemPrintTitles="1" createdVersion="8" indent="0" outline="1" outlineData="1" multipleFieldFilters="0" chartFormat="4">
  <location ref="P3:R8" firstHeaderRow="0"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2"/>
  </colFields>
  <colItems count="2">
    <i>
      <x/>
    </i>
    <i i="1">
      <x v="1"/>
    </i>
  </colItems>
  <dataFields count="2">
    <dataField fld="0"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0">
      <autoFilter ref="A1">
        <filterColumn colId="0">
          <top10 val="5" filterVal="5"/>
        </filterColumn>
      </autoFilter>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05B93-EC2C-41BF-A357-B66D5CEE27AD}" name="PivotTable3" cacheId="1888" applyNumberFormats="0" applyBorderFormats="0" applyFontFormats="0" applyPatternFormats="0" applyAlignmentFormats="0" applyWidthHeightFormats="1" dataCaption="Values" tag="9d00d9c7-2d58-4209-ae10-e82deb6fdc8a" updatedVersion="8" minRefreshableVersion="3" useAutoFormatting="1" itemPrintTitles="1" createdVersion="8" indent="0" outline="1" outlineData="1" multipleFieldFilters="0" chartFormat="16">
  <location ref="E3:F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2F22FD-12EF-4513-8B28-DF60876D1309}" name="PivotTable2" cacheId="1885" applyNumberFormats="0" applyBorderFormats="0" applyFontFormats="0" applyPatternFormats="0" applyAlignmentFormats="0" applyWidthHeightFormats="1" dataCaption="Values" tag="6a7b0f4c-f5a9-4ddc-bd61-47a8c7c48405" updatedVersion="8" minRefreshableVersion="3" useAutoFormatting="1" itemPrintTitles="1" createdVersion="8" indent="0" outline="1" outlineData="1" multipleFieldFilters="0" chartFormat="7" rowHeaderCaption="Category">
  <location ref="B3:C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6">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 1]"/>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597B65A-03DA-4DC4-955C-F834B5A362FF}" autoFormatId="16" applyNumberFormats="0" applyBorderFormats="0" applyFontFormats="0" applyPatternFormats="0" applyAlignmentFormats="0" applyWidthHeightFormats="0">
  <queryTableRefresh nextId="15">
    <queryTableFields count="13">
      <queryTableField id="1" name="Order_ID" tableColumnId="1"/>
      <queryTableField id="2" name="Order_Date" tableColumnId="2"/>
      <queryTableField id="3" name="Category" tableColumnId="3"/>
      <queryTableField id="4" name="Sub_Category" tableColumnId="4"/>
      <queryTableField id="5" name="Region" tableColumnId="5"/>
      <queryTableField id="6" name="Sales" tableColumnId="6"/>
      <queryTableField id="7" name="Profit" tableColumnId="7"/>
      <queryTableField id="8" name="Quantity" tableColumnId="8"/>
      <queryTableField id="9" name="Year" tableColumnId="9"/>
      <queryTableField id="10" name="Month" tableColumnId="10"/>
      <queryTableField id="11" name="Month Name" tableColumnId="11"/>
      <queryTableField id="12" name="Day Name" tableColumnId="12"/>
      <queryTableField id="14" name="Profit Margin" tableColumnId="14"/>
    </queryTableFields>
  </queryTableRefresh>
  <extLst>
    <ext xmlns:x15="http://schemas.microsoft.com/office/spreadsheetml/2010/11/main" uri="{883FBD77-0823-4a55-B5E3-86C4891E6966}">
      <x15:queryTable sourceDataName="Query - Datase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2F46D2-BABC-4E8D-8816-23512517992B}" sourceName="[Dataset].[Region]">
  <pivotTables>
    <pivotTable tabId="2" name="PivotTable1"/>
    <pivotTable tabId="2" name="PivotTable2"/>
    <pivotTable tabId="2" name="PivotTable3"/>
    <pivotTable tabId="2" name="PivotTable6"/>
    <pivotTable tabId="2" name="PivotTable8"/>
    <pivotTable tabId="2" name="PivotTable7"/>
  </pivotTables>
  <data>
    <olap pivotCacheId="1808618331">
      <levels count="2">
        <level uniqueName="[Dataset].[Region].[(All)]" sourceCaption="(All)" count="0"/>
        <level uniqueName="[Dataset].[Region].[Region]" sourceCaption="Region" count="4">
          <ranges>
            <range startItem="0">
              <i n="[Dataset].[Region].&amp;[Central]" c="Central"/>
              <i n="[Dataset].[Region].&amp;[East]" c="East"/>
              <i n="[Dataset].[Region].&amp;[South]" c="South"/>
              <i n="[Dataset].[Region].&amp;[West]" c="West"/>
            </range>
          </ranges>
        </level>
      </levels>
      <selections count="1">
        <selection n="[Dataset].[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AB3E9FB-AC09-4131-B7DE-7B720DAC9D52}" sourceName="[Dataset].[Category]">
  <pivotTables>
    <pivotTable tabId="2" name="PivotTable1"/>
    <pivotTable tabId="2" name="PivotTable3"/>
    <pivotTable tabId="2" name="PivotTable4"/>
    <pivotTable tabId="2" name="PivotTable6"/>
    <pivotTable tabId="2" name="PivotTable7"/>
    <pivotTable tabId="2" name="PivotTable8"/>
  </pivotTables>
  <data>
    <olap pivotCacheId="1808618331">
      <levels count="2">
        <level uniqueName="[Dataset].[Category].[(All)]" sourceCaption="(All)" count="0"/>
        <level uniqueName="[Dataset].[Category].[Category]" sourceCaption="Category" count="3">
          <ranges>
            <range startItem="0">
              <i n="[Dataset].[Category].&amp;[Furniture]" c="Furniture"/>
              <i n="[Dataset].[Category].&amp;[Office Supplies]" c="Office Supplies"/>
              <i n="[Dataset].[Category].&amp;[Technology]" c="Technology"/>
            </range>
          </ranges>
        </level>
      </levels>
      <selections count="1">
        <selection n="[Dataset].[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A008586-915C-4BC5-816D-2E0E3533382B}" sourceName="[Dataset].[Sub_Category]">
  <pivotTables>
    <pivotTable tabId="2" name="PivotTable1"/>
    <pivotTable tabId="2" name="PivotTable2"/>
    <pivotTable tabId="2" name="PivotTable3"/>
    <pivotTable tabId="2" name="PivotTable4"/>
    <pivotTable tabId="2" name="PivotTable6"/>
    <pivotTable tabId="2" name="PivotTable7"/>
  </pivotTables>
  <data>
    <olap pivotCacheId="1808618331">
      <levels count="2">
        <level uniqueName="[Dataset].[Sub_Category].[(All)]" sourceCaption="(All)" count="0"/>
        <level uniqueName="[Dataset].[Sub_Category].[Sub_Category]" sourceCaption="Sub_Category" count="6">
          <ranges>
            <range startItem="0">
              <i n="[Dataset].[Sub_Category].&amp;[Accessories]" c="Accessories"/>
              <i n="[Dataset].[Sub_Category].&amp;[Binders]" c="Binders"/>
              <i n="[Dataset].[Sub_Category].&amp;[Chairs]" c="Chairs"/>
              <i n="[Dataset].[Sub_Category].&amp;[Paper]" c="Paper"/>
              <i n="[Dataset].[Sub_Category].&amp;[Phones]" c="Phones"/>
              <i n="[Dataset].[Sub_Category].&amp;[Tables]" c="Tables"/>
            </range>
          </ranges>
        </level>
      </levels>
      <selections count="1">
        <selection n="[Dataset].[Sub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5081E3-188E-480A-8BF5-3DA044B111EE}" cache="Slicer_Region" caption="Region" level="1" style="Slicer Style 1" rowHeight="360000"/>
  <slicer name="Category" xr10:uid="{8F1EF240-8965-4621-A533-5D590427DBFE}" cache="Slicer_Category" caption="Category" level="1" style="Slicer Style 1" rowHeight="504000"/>
  <slicer name="Sub_Category" xr10:uid="{69CA1110-8EB5-47E9-A733-4744971276D1}" cache="Slicer_Sub_Category" caption="Sub_Category" level="1" style="Slicer Style 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4DCD6-BB25-4C77-BD90-492DA3A528C7}" name="Dataset" displayName="Dataset" ref="A1:M401" tableType="queryTable" totalsRowShown="0">
  <autoFilter ref="A1:M401" xr:uid="{8574DCD6-BB25-4C77-BD90-492DA3A528C7}"/>
  <tableColumns count="13">
    <tableColumn id="1" xr3:uid="{0B18EA46-1919-443E-8D30-41C29DA63611}" uniqueName="1" name="Order_ID" queryTableFieldId="1"/>
    <tableColumn id="2" xr3:uid="{8F219DA8-102A-4DF6-A907-713DF3C38A0E}" uniqueName="2" name="Order_Date" queryTableFieldId="2" dataDxfId="124"/>
    <tableColumn id="3" xr3:uid="{58AA3895-FFC0-4A1C-8334-4611EE903771}" uniqueName="3" name="Category" queryTableFieldId="3" dataDxfId="123"/>
    <tableColumn id="4" xr3:uid="{E561A799-0482-4CC9-8BA5-EE7E2274A0E3}" uniqueName="4" name="Sub_Category" queryTableFieldId="4" dataDxfId="122"/>
    <tableColumn id="5" xr3:uid="{A67C7111-4F2B-41BC-BFCA-124F2365D712}" uniqueName="5" name="Region" queryTableFieldId="5" dataDxfId="121"/>
    <tableColumn id="6" xr3:uid="{27C78144-2AA9-4849-A332-FBF5A659D3A8}" uniqueName="6" name="Sales" queryTableFieldId="6"/>
    <tableColumn id="7" xr3:uid="{21B083A9-FD98-4BEF-A765-4958A146AC5E}" uniqueName="7" name="Profit" queryTableFieldId="7"/>
    <tableColumn id="8" xr3:uid="{0105F6BB-F015-4E8B-A146-80A21D64BBB7}" uniqueName="8" name="Quantity" queryTableFieldId="8"/>
    <tableColumn id="9" xr3:uid="{7BFB2083-F213-43A0-B8FB-72BC1D8304A9}" uniqueName="9" name="Year" queryTableFieldId="9"/>
    <tableColumn id="10" xr3:uid="{5FB163C2-A70E-43B7-ADCE-3637640CA0A2}" uniqueName="10" name="Month" queryTableFieldId="10"/>
    <tableColumn id="11" xr3:uid="{7A8F5211-AC12-4007-BA72-7080EB5CE9D9}" uniqueName="11" name="Month Name" queryTableFieldId="11" dataDxfId="120"/>
    <tableColumn id="12" xr3:uid="{31931968-A6A9-47B5-9C89-15784E0FD067}" uniqueName="12" name="Day Name" queryTableFieldId="12" dataDxfId="119"/>
    <tableColumn id="14" xr3:uid="{5760AEF0-92B5-48F9-B226-6A9ABC3AE7AC}" uniqueName="14" name="Profit Margin" queryTableFieldId="14" dataDxfId="118"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1078D-AABF-48AE-8FFC-AF718EC9833B}">
  <dimension ref="B3:R37"/>
  <sheetViews>
    <sheetView topLeftCell="A20" workbookViewId="0">
      <selection activeCell="C37" sqref="C37"/>
    </sheetView>
  </sheetViews>
  <sheetFormatPr defaultRowHeight="14.4" x14ac:dyDescent="0.3"/>
  <cols>
    <col min="1" max="1" width="10.33203125" bestFit="1" customWidth="1"/>
    <col min="2" max="2" width="13.109375" bestFit="1" customWidth="1"/>
    <col min="3" max="3" width="10.5546875" bestFit="1" customWidth="1"/>
    <col min="4" max="4" width="10.33203125" bestFit="1" customWidth="1"/>
    <col min="5" max="5" width="12.5546875" bestFit="1" customWidth="1"/>
    <col min="6" max="6" width="10.5546875" bestFit="1" customWidth="1"/>
    <col min="8" max="8" width="12.5546875" bestFit="1" customWidth="1"/>
    <col min="9" max="9" width="22" bestFit="1" customWidth="1"/>
    <col min="10" max="10" width="16.88671875" bestFit="1" customWidth="1"/>
    <col min="12" max="12" width="12.5546875" bestFit="1" customWidth="1"/>
    <col min="13" max="13" width="9.88671875" bestFit="1" customWidth="1"/>
    <col min="16" max="16" width="12.5546875" bestFit="1" customWidth="1"/>
    <col min="17" max="17" width="10.5546875" bestFit="1" customWidth="1"/>
    <col min="18" max="18" width="12.109375" bestFit="1" customWidth="1"/>
  </cols>
  <sheetData>
    <row r="3" spans="2:18" x14ac:dyDescent="0.3">
      <c r="B3" s="3" t="s">
        <v>2</v>
      </c>
      <c r="C3" t="s">
        <v>45</v>
      </c>
      <c r="E3" s="3" t="s">
        <v>47</v>
      </c>
      <c r="F3" t="s">
        <v>45</v>
      </c>
      <c r="H3" s="3" t="s">
        <v>47</v>
      </c>
      <c r="I3" t="s">
        <v>46</v>
      </c>
      <c r="L3" s="3" t="s">
        <v>47</v>
      </c>
      <c r="M3" t="s">
        <v>45</v>
      </c>
      <c r="P3" s="3" t="s">
        <v>47</v>
      </c>
      <c r="Q3" t="s">
        <v>45</v>
      </c>
      <c r="R3" t="s">
        <v>46</v>
      </c>
    </row>
    <row r="4" spans="2:18" x14ac:dyDescent="0.3">
      <c r="B4" s="4" t="s">
        <v>13</v>
      </c>
      <c r="C4" s="11">
        <v>353637.09</v>
      </c>
      <c r="E4" s="4" t="s">
        <v>16</v>
      </c>
      <c r="F4" s="11">
        <v>163217.24</v>
      </c>
      <c r="H4" s="4" t="s">
        <v>15</v>
      </c>
      <c r="I4" s="13">
        <v>46083.82</v>
      </c>
      <c r="L4" s="4">
        <v>1001</v>
      </c>
      <c r="M4" s="11">
        <v>4508.37</v>
      </c>
      <c r="P4" s="4" t="s">
        <v>15</v>
      </c>
      <c r="Q4" s="11">
        <v>266483.65000000002</v>
      </c>
      <c r="R4" s="13">
        <v>46083.82</v>
      </c>
    </row>
    <row r="5" spans="2:18" x14ac:dyDescent="0.3">
      <c r="B5" s="4" t="s">
        <v>44</v>
      </c>
      <c r="C5" s="11">
        <v>329260.88</v>
      </c>
      <c r="E5" s="4" t="s">
        <v>31</v>
      </c>
      <c r="F5" s="11">
        <v>84160.21</v>
      </c>
      <c r="H5" s="4" t="s">
        <v>29</v>
      </c>
      <c r="I5" s="13">
        <v>50890.84</v>
      </c>
      <c r="L5" s="4">
        <v>1002</v>
      </c>
      <c r="M5" s="11">
        <v>3158.1</v>
      </c>
      <c r="P5" s="4" t="s">
        <v>29</v>
      </c>
      <c r="Q5" s="11">
        <v>242025.46</v>
      </c>
      <c r="R5" s="13">
        <v>50890.84</v>
      </c>
    </row>
    <row r="6" spans="2:18" x14ac:dyDescent="0.3">
      <c r="B6" s="4" t="s">
        <v>43</v>
      </c>
      <c r="C6" s="11">
        <v>364276.41</v>
      </c>
      <c r="E6" s="4" t="s">
        <v>33</v>
      </c>
      <c r="F6" s="11">
        <v>74343.98</v>
      </c>
      <c r="H6" s="4" t="s">
        <v>19</v>
      </c>
      <c r="I6" s="13">
        <v>47384.1</v>
      </c>
      <c r="L6" s="4">
        <v>1003</v>
      </c>
      <c r="M6" s="11">
        <v>2744.93</v>
      </c>
      <c r="P6" s="4" t="s">
        <v>19</v>
      </c>
      <c r="Q6" s="11">
        <v>250878.2</v>
      </c>
      <c r="R6" s="13">
        <v>47384.1</v>
      </c>
    </row>
    <row r="7" spans="2:18" x14ac:dyDescent="0.3">
      <c r="B7" s="4" t="s">
        <v>48</v>
      </c>
      <c r="C7" s="11">
        <v>1047174.38</v>
      </c>
      <c r="E7" s="4" t="s">
        <v>34</v>
      </c>
      <c r="F7" s="11">
        <v>71233.440000000002</v>
      </c>
      <c r="H7" s="4" t="s">
        <v>22</v>
      </c>
      <c r="I7" s="13">
        <v>63004.3</v>
      </c>
      <c r="L7" s="4">
        <v>1004</v>
      </c>
      <c r="M7" s="11">
        <v>2249.85</v>
      </c>
      <c r="P7" s="4" t="s">
        <v>22</v>
      </c>
      <c r="Q7" s="11">
        <v>287787.07</v>
      </c>
      <c r="R7" s="13">
        <v>63004.3</v>
      </c>
    </row>
    <row r="8" spans="2:18" x14ac:dyDescent="0.3">
      <c r="E8" s="4" t="s">
        <v>35</v>
      </c>
      <c r="F8" s="11">
        <v>89538.69</v>
      </c>
      <c r="H8" s="4" t="s">
        <v>48</v>
      </c>
      <c r="I8" s="13">
        <v>207363.06</v>
      </c>
      <c r="L8" s="4">
        <v>1005</v>
      </c>
      <c r="M8" s="11">
        <v>2929.68</v>
      </c>
      <c r="P8" s="4" t="s">
        <v>48</v>
      </c>
      <c r="Q8" s="11">
        <v>1047174.38</v>
      </c>
      <c r="R8" s="13">
        <v>207363.06</v>
      </c>
    </row>
    <row r="9" spans="2:18" x14ac:dyDescent="0.3">
      <c r="E9" s="4" t="s">
        <v>36</v>
      </c>
      <c r="F9" s="11">
        <v>87250.96</v>
      </c>
      <c r="L9" s="4" t="s">
        <v>48</v>
      </c>
      <c r="M9" s="11">
        <v>15590.93</v>
      </c>
    </row>
    <row r="10" spans="2:18" x14ac:dyDescent="0.3">
      <c r="E10" s="4" t="s">
        <v>37</v>
      </c>
      <c r="F10" s="11">
        <v>78976.22</v>
      </c>
    </row>
    <row r="11" spans="2:18" x14ac:dyDescent="0.3">
      <c r="E11" s="4" t="s">
        <v>38</v>
      </c>
      <c r="F11" s="11">
        <v>87562.05</v>
      </c>
    </row>
    <row r="12" spans="2:18" x14ac:dyDescent="0.3">
      <c r="E12" s="4" t="s">
        <v>39</v>
      </c>
      <c r="F12" s="11">
        <v>81535.55</v>
      </c>
    </row>
    <row r="13" spans="2:18" x14ac:dyDescent="0.3">
      <c r="E13" s="4" t="s">
        <v>40</v>
      </c>
      <c r="F13" s="11">
        <v>81862.02</v>
      </c>
    </row>
    <row r="14" spans="2:18" x14ac:dyDescent="0.3">
      <c r="E14" s="4" t="s">
        <v>41</v>
      </c>
      <c r="F14" s="11">
        <v>62142.14</v>
      </c>
    </row>
    <row r="15" spans="2:18" x14ac:dyDescent="0.3">
      <c r="E15" s="4" t="s">
        <v>42</v>
      </c>
      <c r="F15" s="11">
        <v>85351.88</v>
      </c>
    </row>
    <row r="16" spans="2:18" x14ac:dyDescent="0.3">
      <c r="E16" s="4" t="s">
        <v>48</v>
      </c>
      <c r="F16" s="11">
        <v>1047174.38</v>
      </c>
    </row>
    <row r="20" spans="8:9" x14ac:dyDescent="0.3">
      <c r="H20" s="3" t="s">
        <v>47</v>
      </c>
      <c r="I20" s="5" t="s">
        <v>49</v>
      </c>
    </row>
    <row r="21" spans="8:9" x14ac:dyDescent="0.3">
      <c r="H21" s="4" t="s">
        <v>24</v>
      </c>
      <c r="I21" s="5">
        <v>0.42504675731459779</v>
      </c>
    </row>
    <row r="22" spans="8:9" x14ac:dyDescent="0.3">
      <c r="H22" s="4" t="s">
        <v>18</v>
      </c>
      <c r="I22" s="5">
        <v>0.40180635638644191</v>
      </c>
    </row>
    <row r="23" spans="8:9" x14ac:dyDescent="0.3">
      <c r="H23" s="4" t="s">
        <v>21</v>
      </c>
      <c r="I23" s="5">
        <v>0.29896345884768144</v>
      </c>
    </row>
    <row r="24" spans="8:9" x14ac:dyDescent="0.3">
      <c r="H24" s="4" t="s">
        <v>28</v>
      </c>
      <c r="I24" s="5">
        <v>0.29139236924982109</v>
      </c>
    </row>
    <row r="25" spans="8:9" x14ac:dyDescent="0.3">
      <c r="H25" s="4" t="s">
        <v>25</v>
      </c>
      <c r="I25" s="5">
        <v>0.37762486042421278</v>
      </c>
    </row>
    <row r="26" spans="8:9" x14ac:dyDescent="0.3">
      <c r="H26" s="4" t="s">
        <v>14</v>
      </c>
      <c r="I26" s="5">
        <v>0.46008746377279147</v>
      </c>
    </row>
    <row r="27" spans="8:9" x14ac:dyDescent="0.3">
      <c r="H27" s="4" t="s">
        <v>48</v>
      </c>
      <c r="I27" s="5">
        <v>0.37286341179145488</v>
      </c>
    </row>
    <row r="33" spans="3:6" x14ac:dyDescent="0.3">
      <c r="C33" s="8" t="s">
        <v>50</v>
      </c>
    </row>
    <row r="34" spans="3:6" x14ac:dyDescent="0.3">
      <c r="C34" t="s">
        <v>45</v>
      </c>
      <c r="D34" t="s">
        <v>46</v>
      </c>
      <c r="E34" t="s">
        <v>51</v>
      </c>
      <c r="F34" t="s">
        <v>52</v>
      </c>
    </row>
    <row r="35" spans="3:6" x14ac:dyDescent="0.3">
      <c r="C35" s="11">
        <v>1047174.38</v>
      </c>
      <c r="D35" s="2">
        <v>207363.06</v>
      </c>
      <c r="E35" s="12">
        <v>400</v>
      </c>
      <c r="F35" s="7">
        <v>0.37286341179145488</v>
      </c>
    </row>
    <row r="37" spans="3:6" x14ac:dyDescent="0.3">
      <c r="C37" s="10">
        <f>GETPIVOTDATA("[Measures].[Total Sales]",$C$34)</f>
        <v>1047174.38</v>
      </c>
      <c r="D37" s="10">
        <f>GETPIVOTDATA("[Measures].[Total Profit]",$C$34)</f>
        <v>207363.06</v>
      </c>
      <c r="E37">
        <f>GETPIVOTDATA("[Measures].[Total Order]",$C$34)</f>
        <v>400</v>
      </c>
      <c r="F37" s="9">
        <f>GETPIVOTDATA("[Measures].[Average of Profit Margin]",$C$34)</f>
        <v>0.37286341179145488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FF6AD-EF64-4841-A675-B40EED7ABD3F}">
  <dimension ref="A1"/>
  <sheetViews>
    <sheetView showGridLines="0" tabSelected="1" zoomScale="80" zoomScaleNormal="80" workbookViewId="0">
      <selection activeCell="AA6" sqref="AA6"/>
    </sheetView>
  </sheetViews>
  <sheetFormatPr defaultRowHeight="14.4" x14ac:dyDescent="0.3"/>
  <sheetData/>
  <sheetProtection algorithmName="SHA-512" hashValue="n+D38LYn0CXLxafSV2Nm0w2RV96sd+1mH3YVY1uWdrNtajbW5AA+APie8vbigUxwNflda+3q10nOt1T6y38QTA==" saltValue="PI1FUGm1ZcXCMTVcO3/7YA=="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4A27-2C2A-463E-AE33-72EC38A0C116}">
  <dimension ref="A1:M401"/>
  <sheetViews>
    <sheetView workbookViewId="0">
      <selection activeCell="M1" sqref="M1"/>
    </sheetView>
  </sheetViews>
  <sheetFormatPr defaultRowHeight="14.4" x14ac:dyDescent="0.3"/>
  <cols>
    <col min="1" max="1" width="10.77734375" bestFit="1" customWidth="1"/>
    <col min="2" max="2" width="12.88671875" bestFit="1" customWidth="1"/>
    <col min="3" max="3" width="13.109375" bestFit="1" customWidth="1"/>
    <col min="4" max="4" width="15" bestFit="1" customWidth="1"/>
    <col min="5" max="5" width="9" bestFit="1" customWidth="1"/>
    <col min="6" max="7" width="8" bestFit="1" customWidth="1"/>
    <col min="8" max="8" width="10.5546875" bestFit="1" customWidth="1"/>
    <col min="9" max="9" width="6.88671875" bestFit="1" customWidth="1"/>
    <col min="10" max="10" width="9" bestFit="1" customWidth="1"/>
    <col min="11" max="11" width="14.44140625" bestFit="1" customWidth="1"/>
    <col min="12" max="12" width="11.88671875" bestFit="1" customWidth="1"/>
    <col min="13" max="13" width="14.33203125" style="6" bestFit="1" customWidth="1"/>
    <col min="14" max="14" width="14.33203125" bestFit="1" customWidth="1"/>
  </cols>
  <sheetData>
    <row r="1" spans="1:13" x14ac:dyDescent="0.3">
      <c r="A1" t="s">
        <v>0</v>
      </c>
      <c r="B1" t="s">
        <v>1</v>
      </c>
      <c r="C1" t="s">
        <v>2</v>
      </c>
      <c r="D1" t="s">
        <v>3</v>
      </c>
      <c r="E1" t="s">
        <v>4</v>
      </c>
      <c r="F1" t="s">
        <v>5</v>
      </c>
      <c r="G1" t="s">
        <v>6</v>
      </c>
      <c r="H1" t="s">
        <v>7</v>
      </c>
      <c r="I1" t="s">
        <v>8</v>
      </c>
      <c r="J1" t="s">
        <v>9</v>
      </c>
      <c r="K1" t="s">
        <v>10</v>
      </c>
      <c r="L1" t="s">
        <v>11</v>
      </c>
      <c r="M1" s="6" t="s">
        <v>12</v>
      </c>
    </row>
    <row r="2" spans="1:13" x14ac:dyDescent="0.3">
      <c r="A2">
        <v>1002</v>
      </c>
      <c r="B2" s="1">
        <v>44928</v>
      </c>
      <c r="C2" t="s">
        <v>13</v>
      </c>
      <c r="D2" t="s">
        <v>14</v>
      </c>
      <c r="E2" t="s">
        <v>15</v>
      </c>
      <c r="F2">
        <v>3158.1</v>
      </c>
      <c r="G2">
        <v>642.64</v>
      </c>
      <c r="H2">
        <v>8</v>
      </c>
      <c r="I2">
        <v>2023</v>
      </c>
      <c r="J2">
        <v>1</v>
      </c>
      <c r="K2" t="s">
        <v>16</v>
      </c>
      <c r="L2" t="s">
        <v>17</v>
      </c>
      <c r="M2" s="6">
        <v>0.20348943985307599</v>
      </c>
    </row>
    <row r="3" spans="1:13" x14ac:dyDescent="0.3">
      <c r="A3">
        <v>1005</v>
      </c>
      <c r="B3" s="1">
        <v>44931</v>
      </c>
      <c r="C3" t="s">
        <v>13</v>
      </c>
      <c r="D3" t="s">
        <v>18</v>
      </c>
      <c r="E3" t="s">
        <v>19</v>
      </c>
      <c r="F3">
        <v>2929.68</v>
      </c>
      <c r="G3">
        <v>1228.99</v>
      </c>
      <c r="H3">
        <v>4</v>
      </c>
      <c r="I3">
        <v>2023</v>
      </c>
      <c r="J3">
        <v>1</v>
      </c>
      <c r="K3" t="s">
        <v>16</v>
      </c>
      <c r="L3" t="s">
        <v>20</v>
      </c>
      <c r="M3" s="6">
        <v>0.41949632724393099</v>
      </c>
    </row>
    <row r="4" spans="1:13" x14ac:dyDescent="0.3">
      <c r="A4">
        <v>1006</v>
      </c>
      <c r="B4" s="1">
        <v>44932</v>
      </c>
      <c r="C4" t="s">
        <v>13</v>
      </c>
      <c r="D4" t="s">
        <v>21</v>
      </c>
      <c r="E4" t="s">
        <v>22</v>
      </c>
      <c r="F4">
        <v>1841.28</v>
      </c>
      <c r="G4">
        <v>967.82</v>
      </c>
      <c r="H4">
        <v>4</v>
      </c>
      <c r="I4">
        <v>2023</v>
      </c>
      <c r="J4">
        <v>1</v>
      </c>
      <c r="K4" t="s">
        <v>16</v>
      </c>
      <c r="L4" t="s">
        <v>23</v>
      </c>
      <c r="M4" s="6">
        <v>0.52562347931873499</v>
      </c>
    </row>
    <row r="5" spans="1:13" x14ac:dyDescent="0.3">
      <c r="A5">
        <v>1013</v>
      </c>
      <c r="B5" s="1">
        <v>44939</v>
      </c>
      <c r="C5" t="s">
        <v>13</v>
      </c>
      <c r="D5" t="s">
        <v>24</v>
      </c>
      <c r="E5" t="s">
        <v>15</v>
      </c>
      <c r="F5">
        <v>1730.8</v>
      </c>
      <c r="G5">
        <v>-22.62</v>
      </c>
      <c r="H5">
        <v>7</v>
      </c>
      <c r="I5">
        <v>2023</v>
      </c>
      <c r="J5">
        <v>1</v>
      </c>
      <c r="K5" t="s">
        <v>16</v>
      </c>
      <c r="L5" t="s">
        <v>23</v>
      </c>
      <c r="M5" s="6">
        <v>-1.30691009937601E-2</v>
      </c>
    </row>
    <row r="6" spans="1:13" x14ac:dyDescent="0.3">
      <c r="A6">
        <v>1016</v>
      </c>
      <c r="B6" s="1">
        <v>44942</v>
      </c>
      <c r="C6" t="s">
        <v>13</v>
      </c>
      <c r="D6" t="s">
        <v>14</v>
      </c>
      <c r="E6" t="s">
        <v>22</v>
      </c>
      <c r="F6">
        <v>916.98</v>
      </c>
      <c r="G6">
        <v>897.98</v>
      </c>
      <c r="H6">
        <v>5</v>
      </c>
      <c r="I6">
        <v>2023</v>
      </c>
      <c r="J6">
        <v>1</v>
      </c>
      <c r="K6" t="s">
        <v>16</v>
      </c>
      <c r="L6" t="s">
        <v>17</v>
      </c>
      <c r="M6" s="6">
        <v>0.97927980981046503</v>
      </c>
    </row>
    <row r="7" spans="1:13" x14ac:dyDescent="0.3">
      <c r="A7">
        <v>1021</v>
      </c>
      <c r="B7" s="1">
        <v>44947</v>
      </c>
      <c r="C7" t="s">
        <v>13</v>
      </c>
      <c r="D7" t="s">
        <v>25</v>
      </c>
      <c r="E7" t="s">
        <v>15</v>
      </c>
      <c r="F7">
        <v>4988.6899999999996</v>
      </c>
      <c r="G7">
        <v>1258.1400000000001</v>
      </c>
      <c r="H7">
        <v>9</v>
      </c>
      <c r="I7">
        <v>2023</v>
      </c>
      <c r="J7">
        <v>1</v>
      </c>
      <c r="K7" t="s">
        <v>16</v>
      </c>
      <c r="L7" t="s">
        <v>26</v>
      </c>
      <c r="M7" s="6">
        <v>0.252198472945803</v>
      </c>
    </row>
    <row r="8" spans="1:13" x14ac:dyDescent="0.3">
      <c r="A8">
        <v>1022</v>
      </c>
      <c r="B8" s="1">
        <v>44948</v>
      </c>
      <c r="C8" t="s">
        <v>13</v>
      </c>
      <c r="D8" t="s">
        <v>21</v>
      </c>
      <c r="E8" t="s">
        <v>15</v>
      </c>
      <c r="F8">
        <v>3786.78</v>
      </c>
      <c r="G8">
        <v>-489.71</v>
      </c>
      <c r="H8">
        <v>8</v>
      </c>
      <c r="I8">
        <v>2023</v>
      </c>
      <c r="J8">
        <v>1</v>
      </c>
      <c r="K8" t="s">
        <v>16</v>
      </c>
      <c r="L8" t="s">
        <v>27</v>
      </c>
      <c r="M8" s="6">
        <v>-0.12932095342216901</v>
      </c>
    </row>
    <row r="9" spans="1:13" x14ac:dyDescent="0.3">
      <c r="A9">
        <v>1025</v>
      </c>
      <c r="B9" s="1">
        <v>44951</v>
      </c>
      <c r="C9" t="s">
        <v>13</v>
      </c>
      <c r="D9" t="s">
        <v>28</v>
      </c>
      <c r="E9" t="s">
        <v>29</v>
      </c>
      <c r="F9">
        <v>801.33</v>
      </c>
      <c r="G9">
        <v>1317.4</v>
      </c>
      <c r="H9">
        <v>5</v>
      </c>
      <c r="I9">
        <v>2023</v>
      </c>
      <c r="J9">
        <v>1</v>
      </c>
      <c r="K9" t="s">
        <v>16</v>
      </c>
      <c r="L9" t="s">
        <v>30</v>
      </c>
      <c r="M9" s="6">
        <v>1.64401682203337</v>
      </c>
    </row>
    <row r="10" spans="1:13" x14ac:dyDescent="0.3">
      <c r="A10">
        <v>1026</v>
      </c>
      <c r="B10" s="1">
        <v>44952</v>
      </c>
      <c r="C10" t="s">
        <v>13</v>
      </c>
      <c r="D10" t="s">
        <v>28</v>
      </c>
      <c r="E10" t="s">
        <v>22</v>
      </c>
      <c r="F10">
        <v>1102.27</v>
      </c>
      <c r="G10">
        <v>-497.76</v>
      </c>
      <c r="H10">
        <v>4</v>
      </c>
      <c r="I10">
        <v>2023</v>
      </c>
      <c r="J10">
        <v>1</v>
      </c>
      <c r="K10" t="s">
        <v>16</v>
      </c>
      <c r="L10" t="s">
        <v>20</v>
      </c>
      <c r="M10" s="6">
        <v>-0.45157719977863903</v>
      </c>
    </row>
    <row r="11" spans="1:13" x14ac:dyDescent="0.3">
      <c r="A11">
        <v>1027</v>
      </c>
      <c r="B11" s="1">
        <v>44953</v>
      </c>
      <c r="C11" t="s">
        <v>13</v>
      </c>
      <c r="D11" t="s">
        <v>25</v>
      </c>
      <c r="E11" t="s">
        <v>19</v>
      </c>
      <c r="F11">
        <v>3598.91</v>
      </c>
      <c r="G11">
        <v>612.36</v>
      </c>
      <c r="H11">
        <v>2</v>
      </c>
      <c r="I11">
        <v>2023</v>
      </c>
      <c r="J11">
        <v>1</v>
      </c>
      <c r="K11" t="s">
        <v>16</v>
      </c>
      <c r="L11" t="s">
        <v>23</v>
      </c>
      <c r="M11" s="6">
        <v>0.17015151809853499</v>
      </c>
    </row>
    <row r="12" spans="1:13" x14ac:dyDescent="0.3">
      <c r="A12">
        <v>1039</v>
      </c>
      <c r="B12" s="1">
        <v>44965</v>
      </c>
      <c r="C12" t="s">
        <v>13</v>
      </c>
      <c r="D12" t="s">
        <v>24</v>
      </c>
      <c r="E12" t="s">
        <v>29</v>
      </c>
      <c r="F12">
        <v>3882.22</v>
      </c>
      <c r="G12">
        <v>66.69</v>
      </c>
      <c r="H12">
        <v>5</v>
      </c>
      <c r="I12">
        <v>2023</v>
      </c>
      <c r="J12">
        <v>2</v>
      </c>
      <c r="K12" t="s">
        <v>31</v>
      </c>
      <c r="L12" t="s">
        <v>30</v>
      </c>
      <c r="M12" s="6">
        <v>1.71783154998944E-2</v>
      </c>
    </row>
    <row r="13" spans="1:13" x14ac:dyDescent="0.3">
      <c r="A13">
        <v>1041</v>
      </c>
      <c r="B13" s="1">
        <v>44967</v>
      </c>
      <c r="C13" t="s">
        <v>13</v>
      </c>
      <c r="D13" t="s">
        <v>21</v>
      </c>
      <c r="E13" t="s">
        <v>22</v>
      </c>
      <c r="F13">
        <v>3032.37</v>
      </c>
      <c r="G13">
        <v>364.48</v>
      </c>
      <c r="H13">
        <v>3</v>
      </c>
      <c r="I13">
        <v>2023</v>
      </c>
      <c r="J13">
        <v>2</v>
      </c>
      <c r="K13" t="s">
        <v>31</v>
      </c>
      <c r="L13" t="s">
        <v>23</v>
      </c>
      <c r="M13" s="6">
        <v>0.120196414025993</v>
      </c>
    </row>
    <row r="14" spans="1:13" x14ac:dyDescent="0.3">
      <c r="A14">
        <v>1044</v>
      </c>
      <c r="B14" s="1">
        <v>44970</v>
      </c>
      <c r="C14" t="s">
        <v>13</v>
      </c>
      <c r="D14" t="s">
        <v>14</v>
      </c>
      <c r="E14" t="s">
        <v>15</v>
      </c>
      <c r="F14">
        <v>3035.24</v>
      </c>
      <c r="G14">
        <v>-141.01</v>
      </c>
      <c r="H14">
        <v>7</v>
      </c>
      <c r="I14">
        <v>2023</v>
      </c>
      <c r="J14">
        <v>2</v>
      </c>
      <c r="K14" t="s">
        <v>31</v>
      </c>
      <c r="L14" t="s">
        <v>17</v>
      </c>
      <c r="M14" s="6">
        <v>-4.6457611259735597E-2</v>
      </c>
    </row>
    <row r="15" spans="1:13" x14ac:dyDescent="0.3">
      <c r="A15">
        <v>1045</v>
      </c>
      <c r="B15" s="1">
        <v>44971</v>
      </c>
      <c r="C15" t="s">
        <v>13</v>
      </c>
      <c r="D15" t="s">
        <v>14</v>
      </c>
      <c r="E15" t="s">
        <v>15</v>
      </c>
      <c r="F15">
        <v>4151.3100000000004</v>
      </c>
      <c r="G15">
        <v>1007.4</v>
      </c>
      <c r="H15">
        <v>5</v>
      </c>
      <c r="I15">
        <v>2023</v>
      </c>
      <c r="J15">
        <v>2</v>
      </c>
      <c r="K15" t="s">
        <v>31</v>
      </c>
      <c r="L15" t="s">
        <v>32</v>
      </c>
      <c r="M15" s="6">
        <v>0.24267038597454799</v>
      </c>
    </row>
    <row r="16" spans="1:13" x14ac:dyDescent="0.3">
      <c r="A16">
        <v>1048</v>
      </c>
      <c r="B16" s="1">
        <v>44974</v>
      </c>
      <c r="C16" t="s">
        <v>13</v>
      </c>
      <c r="D16" t="s">
        <v>25</v>
      </c>
      <c r="E16" t="s">
        <v>19</v>
      </c>
      <c r="F16">
        <v>1214.02</v>
      </c>
      <c r="G16">
        <v>1041.71</v>
      </c>
      <c r="H16">
        <v>5</v>
      </c>
      <c r="I16">
        <v>2023</v>
      </c>
      <c r="J16">
        <v>2</v>
      </c>
      <c r="K16" t="s">
        <v>31</v>
      </c>
      <c r="L16" t="s">
        <v>23</v>
      </c>
      <c r="M16" s="6">
        <v>0.85806658868881902</v>
      </c>
    </row>
    <row r="17" spans="1:13" x14ac:dyDescent="0.3">
      <c r="A17">
        <v>1052</v>
      </c>
      <c r="B17" s="1">
        <v>44978</v>
      </c>
      <c r="C17" t="s">
        <v>13</v>
      </c>
      <c r="D17" t="s">
        <v>25</v>
      </c>
      <c r="E17" t="s">
        <v>22</v>
      </c>
      <c r="F17">
        <v>4568.08</v>
      </c>
      <c r="G17">
        <v>917.14</v>
      </c>
      <c r="H17">
        <v>9</v>
      </c>
      <c r="I17">
        <v>2023</v>
      </c>
      <c r="J17">
        <v>2</v>
      </c>
      <c r="K17" t="s">
        <v>31</v>
      </c>
      <c r="L17" t="s">
        <v>32</v>
      </c>
      <c r="M17" s="6">
        <v>0.200771440079858</v>
      </c>
    </row>
    <row r="18" spans="1:13" x14ac:dyDescent="0.3">
      <c r="A18">
        <v>1054</v>
      </c>
      <c r="B18" s="1">
        <v>44980</v>
      </c>
      <c r="C18" t="s">
        <v>13</v>
      </c>
      <c r="D18" t="s">
        <v>14</v>
      </c>
      <c r="E18" t="s">
        <v>22</v>
      </c>
      <c r="F18">
        <v>593.89</v>
      </c>
      <c r="G18">
        <v>-384.16</v>
      </c>
      <c r="H18">
        <v>2</v>
      </c>
      <c r="I18">
        <v>2023</v>
      </c>
      <c r="J18">
        <v>2</v>
      </c>
      <c r="K18" t="s">
        <v>31</v>
      </c>
      <c r="L18" t="s">
        <v>20</v>
      </c>
      <c r="M18" s="6">
        <v>-0.64685379447372404</v>
      </c>
    </row>
    <row r="19" spans="1:13" x14ac:dyDescent="0.3">
      <c r="A19">
        <v>1058</v>
      </c>
      <c r="B19" s="1">
        <v>44984</v>
      </c>
      <c r="C19" t="s">
        <v>13</v>
      </c>
      <c r="D19" t="s">
        <v>24</v>
      </c>
      <c r="E19" t="s">
        <v>15</v>
      </c>
      <c r="F19">
        <v>600.84</v>
      </c>
      <c r="G19">
        <v>852.1</v>
      </c>
      <c r="H19">
        <v>2</v>
      </c>
      <c r="I19">
        <v>2023</v>
      </c>
      <c r="J19">
        <v>2</v>
      </c>
      <c r="K19" t="s">
        <v>31</v>
      </c>
      <c r="L19" t="s">
        <v>17</v>
      </c>
      <c r="M19" s="6">
        <v>1.4181812129685101</v>
      </c>
    </row>
    <row r="20" spans="1:13" x14ac:dyDescent="0.3">
      <c r="A20">
        <v>1062</v>
      </c>
      <c r="B20" s="1">
        <v>44988</v>
      </c>
      <c r="C20" t="s">
        <v>13</v>
      </c>
      <c r="D20" t="s">
        <v>25</v>
      </c>
      <c r="E20" t="s">
        <v>22</v>
      </c>
      <c r="F20">
        <v>3291.7</v>
      </c>
      <c r="G20">
        <v>267.22000000000003</v>
      </c>
      <c r="H20">
        <v>9</v>
      </c>
      <c r="I20">
        <v>2023</v>
      </c>
      <c r="J20">
        <v>3</v>
      </c>
      <c r="K20" t="s">
        <v>33</v>
      </c>
      <c r="L20" t="s">
        <v>23</v>
      </c>
      <c r="M20" s="6">
        <v>8.1179937418355302E-2</v>
      </c>
    </row>
    <row r="21" spans="1:13" x14ac:dyDescent="0.3">
      <c r="A21">
        <v>1070</v>
      </c>
      <c r="B21" s="1">
        <v>44996</v>
      </c>
      <c r="C21" t="s">
        <v>13</v>
      </c>
      <c r="D21" t="s">
        <v>14</v>
      </c>
      <c r="E21" t="s">
        <v>15</v>
      </c>
      <c r="F21">
        <v>701.77</v>
      </c>
      <c r="G21">
        <v>437.08</v>
      </c>
      <c r="H21">
        <v>4</v>
      </c>
      <c r="I21">
        <v>2023</v>
      </c>
      <c r="J21">
        <v>3</v>
      </c>
      <c r="K21" t="s">
        <v>33</v>
      </c>
      <c r="L21" t="s">
        <v>26</v>
      </c>
      <c r="M21" s="6">
        <v>0.62282514214058704</v>
      </c>
    </row>
    <row r="22" spans="1:13" x14ac:dyDescent="0.3">
      <c r="A22">
        <v>1082</v>
      </c>
      <c r="B22" s="1">
        <v>45008</v>
      </c>
      <c r="C22" t="s">
        <v>13</v>
      </c>
      <c r="D22" t="s">
        <v>24</v>
      </c>
      <c r="E22" t="s">
        <v>19</v>
      </c>
      <c r="F22">
        <v>3960.17</v>
      </c>
      <c r="G22">
        <v>1426.47</v>
      </c>
      <c r="H22">
        <v>4</v>
      </c>
      <c r="I22">
        <v>2023</v>
      </c>
      <c r="J22">
        <v>3</v>
      </c>
      <c r="K22" t="s">
        <v>33</v>
      </c>
      <c r="L22" t="s">
        <v>20</v>
      </c>
      <c r="M22" s="6">
        <v>0.36020423365663601</v>
      </c>
    </row>
    <row r="23" spans="1:13" x14ac:dyDescent="0.3">
      <c r="A23">
        <v>1084</v>
      </c>
      <c r="B23" s="1">
        <v>45010</v>
      </c>
      <c r="C23" t="s">
        <v>13</v>
      </c>
      <c r="D23" t="s">
        <v>25</v>
      </c>
      <c r="E23" t="s">
        <v>22</v>
      </c>
      <c r="F23">
        <v>659.91</v>
      </c>
      <c r="G23">
        <v>962.54</v>
      </c>
      <c r="H23">
        <v>2</v>
      </c>
      <c r="I23">
        <v>2023</v>
      </c>
      <c r="J23">
        <v>3</v>
      </c>
      <c r="K23" t="s">
        <v>33</v>
      </c>
      <c r="L23" t="s">
        <v>26</v>
      </c>
      <c r="M23" s="6">
        <v>1.4585928384173601</v>
      </c>
    </row>
    <row r="24" spans="1:13" x14ac:dyDescent="0.3">
      <c r="A24">
        <v>1085</v>
      </c>
      <c r="B24" s="1">
        <v>45011</v>
      </c>
      <c r="C24" t="s">
        <v>13</v>
      </c>
      <c r="D24" t="s">
        <v>28</v>
      </c>
      <c r="E24" t="s">
        <v>22</v>
      </c>
      <c r="F24">
        <v>2131.0700000000002</v>
      </c>
      <c r="G24">
        <v>1319.05</v>
      </c>
      <c r="H24">
        <v>5</v>
      </c>
      <c r="I24">
        <v>2023</v>
      </c>
      <c r="J24">
        <v>3</v>
      </c>
      <c r="K24" t="s">
        <v>33</v>
      </c>
      <c r="L24" t="s">
        <v>27</v>
      </c>
      <c r="M24" s="6">
        <v>0.61896136682511604</v>
      </c>
    </row>
    <row r="25" spans="1:13" x14ac:dyDescent="0.3">
      <c r="A25">
        <v>1088</v>
      </c>
      <c r="B25" s="1">
        <v>45014</v>
      </c>
      <c r="C25" t="s">
        <v>13</v>
      </c>
      <c r="D25" t="s">
        <v>25</v>
      </c>
      <c r="E25" t="s">
        <v>29</v>
      </c>
      <c r="F25">
        <v>2381.9299999999998</v>
      </c>
      <c r="G25">
        <v>1020.19</v>
      </c>
      <c r="H25">
        <v>6</v>
      </c>
      <c r="I25">
        <v>2023</v>
      </c>
      <c r="J25">
        <v>3</v>
      </c>
      <c r="K25" t="s">
        <v>33</v>
      </c>
      <c r="L25" t="s">
        <v>30</v>
      </c>
      <c r="M25" s="6">
        <v>0.42830393840289199</v>
      </c>
    </row>
    <row r="26" spans="1:13" x14ac:dyDescent="0.3">
      <c r="A26">
        <v>1090</v>
      </c>
      <c r="B26" s="1">
        <v>45016</v>
      </c>
      <c r="C26" t="s">
        <v>13</v>
      </c>
      <c r="D26" t="s">
        <v>21</v>
      </c>
      <c r="E26" t="s">
        <v>15</v>
      </c>
      <c r="F26">
        <v>4600.43</v>
      </c>
      <c r="G26">
        <v>123.9</v>
      </c>
      <c r="H26">
        <v>2</v>
      </c>
      <c r="I26">
        <v>2023</v>
      </c>
      <c r="J26">
        <v>3</v>
      </c>
      <c r="K26" t="s">
        <v>33</v>
      </c>
      <c r="L26" t="s">
        <v>23</v>
      </c>
      <c r="M26" s="6">
        <v>2.69322650273996E-2</v>
      </c>
    </row>
    <row r="27" spans="1:13" x14ac:dyDescent="0.3">
      <c r="A27">
        <v>1091</v>
      </c>
      <c r="B27" s="1">
        <v>45017</v>
      </c>
      <c r="C27" t="s">
        <v>13</v>
      </c>
      <c r="D27" t="s">
        <v>24</v>
      </c>
      <c r="E27" t="s">
        <v>15</v>
      </c>
      <c r="F27">
        <v>2976.63</v>
      </c>
      <c r="G27">
        <v>141.49</v>
      </c>
      <c r="H27">
        <v>3</v>
      </c>
      <c r="I27">
        <v>2023</v>
      </c>
      <c r="J27">
        <v>4</v>
      </c>
      <c r="K27" t="s">
        <v>34</v>
      </c>
      <c r="L27" t="s">
        <v>26</v>
      </c>
      <c r="M27" s="6">
        <v>4.75336202349637E-2</v>
      </c>
    </row>
    <row r="28" spans="1:13" x14ac:dyDescent="0.3">
      <c r="A28">
        <v>1092</v>
      </c>
      <c r="B28" s="1">
        <v>45018</v>
      </c>
      <c r="C28" t="s">
        <v>13</v>
      </c>
      <c r="D28" t="s">
        <v>24</v>
      </c>
      <c r="E28" t="s">
        <v>19</v>
      </c>
      <c r="F28">
        <v>260.95</v>
      </c>
      <c r="G28">
        <v>948.85</v>
      </c>
      <c r="H28">
        <v>6</v>
      </c>
      <c r="I28">
        <v>2023</v>
      </c>
      <c r="J28">
        <v>4</v>
      </c>
      <c r="K28" t="s">
        <v>34</v>
      </c>
      <c r="L28" t="s">
        <v>27</v>
      </c>
      <c r="M28" s="6">
        <v>3.6361371910327702</v>
      </c>
    </row>
    <row r="29" spans="1:13" x14ac:dyDescent="0.3">
      <c r="A29">
        <v>1093</v>
      </c>
      <c r="B29" s="1">
        <v>45019</v>
      </c>
      <c r="C29" t="s">
        <v>13</v>
      </c>
      <c r="D29" t="s">
        <v>25</v>
      </c>
      <c r="E29" t="s">
        <v>15</v>
      </c>
      <c r="F29">
        <v>4572.47</v>
      </c>
      <c r="G29">
        <v>991.67</v>
      </c>
      <c r="H29">
        <v>3</v>
      </c>
      <c r="I29">
        <v>2023</v>
      </c>
      <c r="J29">
        <v>4</v>
      </c>
      <c r="K29" t="s">
        <v>34</v>
      </c>
      <c r="L29" t="s">
        <v>17</v>
      </c>
      <c r="M29" s="6">
        <v>0.216878404888386</v>
      </c>
    </row>
    <row r="30" spans="1:13" x14ac:dyDescent="0.3">
      <c r="A30">
        <v>1095</v>
      </c>
      <c r="B30" s="1">
        <v>45021</v>
      </c>
      <c r="C30" t="s">
        <v>13</v>
      </c>
      <c r="D30" t="s">
        <v>14</v>
      </c>
      <c r="E30" t="s">
        <v>15</v>
      </c>
      <c r="F30">
        <v>2930.4</v>
      </c>
      <c r="G30">
        <v>1236.25</v>
      </c>
      <c r="H30">
        <v>6</v>
      </c>
      <c r="I30">
        <v>2023</v>
      </c>
      <c r="J30">
        <v>4</v>
      </c>
      <c r="K30" t="s">
        <v>34</v>
      </c>
      <c r="L30" t="s">
        <v>30</v>
      </c>
      <c r="M30" s="6">
        <v>0.42187073437073402</v>
      </c>
    </row>
    <row r="31" spans="1:13" x14ac:dyDescent="0.3">
      <c r="A31">
        <v>1096</v>
      </c>
      <c r="B31" s="1">
        <v>45022</v>
      </c>
      <c r="C31" t="s">
        <v>13</v>
      </c>
      <c r="D31" t="s">
        <v>24</v>
      </c>
      <c r="E31" t="s">
        <v>29</v>
      </c>
      <c r="F31">
        <v>911.02</v>
      </c>
      <c r="G31">
        <v>929.85</v>
      </c>
      <c r="H31">
        <v>2</v>
      </c>
      <c r="I31">
        <v>2023</v>
      </c>
      <c r="J31">
        <v>4</v>
      </c>
      <c r="K31" t="s">
        <v>34</v>
      </c>
      <c r="L31" t="s">
        <v>20</v>
      </c>
      <c r="M31" s="6">
        <v>1.0206691400847401</v>
      </c>
    </row>
    <row r="32" spans="1:13" x14ac:dyDescent="0.3">
      <c r="A32">
        <v>1097</v>
      </c>
      <c r="B32" s="1">
        <v>45023</v>
      </c>
      <c r="C32" t="s">
        <v>13</v>
      </c>
      <c r="D32" t="s">
        <v>25</v>
      </c>
      <c r="E32" t="s">
        <v>15</v>
      </c>
      <c r="F32">
        <v>266.01</v>
      </c>
      <c r="G32">
        <v>625.5</v>
      </c>
      <c r="H32">
        <v>7</v>
      </c>
      <c r="I32">
        <v>2023</v>
      </c>
      <c r="J32">
        <v>4</v>
      </c>
      <c r="K32" t="s">
        <v>34</v>
      </c>
      <c r="L32" t="s">
        <v>23</v>
      </c>
      <c r="M32" s="6">
        <v>2.3514153603248</v>
      </c>
    </row>
    <row r="33" spans="1:13" x14ac:dyDescent="0.3">
      <c r="A33">
        <v>1099</v>
      </c>
      <c r="B33" s="1">
        <v>45025</v>
      </c>
      <c r="C33" t="s">
        <v>13</v>
      </c>
      <c r="D33" t="s">
        <v>14</v>
      </c>
      <c r="E33" t="s">
        <v>19</v>
      </c>
      <c r="F33">
        <v>3924.43</v>
      </c>
      <c r="G33">
        <v>586.47</v>
      </c>
      <c r="H33">
        <v>6</v>
      </c>
      <c r="I33">
        <v>2023</v>
      </c>
      <c r="J33">
        <v>4</v>
      </c>
      <c r="K33" t="s">
        <v>34</v>
      </c>
      <c r="L33" t="s">
        <v>27</v>
      </c>
      <c r="M33" s="6">
        <v>0.14944081051260899</v>
      </c>
    </row>
    <row r="34" spans="1:13" x14ac:dyDescent="0.3">
      <c r="A34">
        <v>1100</v>
      </c>
      <c r="B34" s="1">
        <v>45026</v>
      </c>
      <c r="C34" t="s">
        <v>13</v>
      </c>
      <c r="D34" t="s">
        <v>28</v>
      </c>
      <c r="E34" t="s">
        <v>15</v>
      </c>
      <c r="F34">
        <v>1460.18</v>
      </c>
      <c r="G34">
        <v>-181.51</v>
      </c>
      <c r="H34">
        <v>1</v>
      </c>
      <c r="I34">
        <v>2023</v>
      </c>
      <c r="J34">
        <v>4</v>
      </c>
      <c r="K34" t="s">
        <v>34</v>
      </c>
      <c r="L34" t="s">
        <v>17</v>
      </c>
      <c r="M34" s="6">
        <v>-0.124306592337931</v>
      </c>
    </row>
    <row r="35" spans="1:13" x14ac:dyDescent="0.3">
      <c r="A35">
        <v>1104</v>
      </c>
      <c r="B35" s="1">
        <v>45030</v>
      </c>
      <c r="C35" t="s">
        <v>13</v>
      </c>
      <c r="D35" t="s">
        <v>14</v>
      </c>
      <c r="E35" t="s">
        <v>19</v>
      </c>
      <c r="F35">
        <v>4880.1499999999996</v>
      </c>
      <c r="G35">
        <v>407.39</v>
      </c>
      <c r="H35">
        <v>4</v>
      </c>
      <c r="I35">
        <v>2023</v>
      </c>
      <c r="J35">
        <v>4</v>
      </c>
      <c r="K35" t="s">
        <v>34</v>
      </c>
      <c r="L35" t="s">
        <v>23</v>
      </c>
      <c r="M35" s="6">
        <v>8.3478991424443899E-2</v>
      </c>
    </row>
    <row r="36" spans="1:13" x14ac:dyDescent="0.3">
      <c r="A36">
        <v>1107</v>
      </c>
      <c r="B36" s="1">
        <v>45033</v>
      </c>
      <c r="C36" t="s">
        <v>13</v>
      </c>
      <c r="D36" t="s">
        <v>25</v>
      </c>
      <c r="E36" t="s">
        <v>19</v>
      </c>
      <c r="F36">
        <v>4317.1000000000004</v>
      </c>
      <c r="G36">
        <v>1093.5999999999999</v>
      </c>
      <c r="H36">
        <v>4</v>
      </c>
      <c r="I36">
        <v>2023</v>
      </c>
      <c r="J36">
        <v>4</v>
      </c>
      <c r="K36" t="s">
        <v>34</v>
      </c>
      <c r="L36" t="s">
        <v>17</v>
      </c>
      <c r="M36" s="6">
        <v>0.25331819971740299</v>
      </c>
    </row>
    <row r="37" spans="1:13" x14ac:dyDescent="0.3">
      <c r="A37">
        <v>1109</v>
      </c>
      <c r="B37" s="1">
        <v>45035</v>
      </c>
      <c r="C37" t="s">
        <v>13</v>
      </c>
      <c r="D37" t="s">
        <v>14</v>
      </c>
      <c r="E37" t="s">
        <v>29</v>
      </c>
      <c r="F37">
        <v>1003.87</v>
      </c>
      <c r="G37">
        <v>1323.67</v>
      </c>
      <c r="H37">
        <v>9</v>
      </c>
      <c r="I37">
        <v>2023</v>
      </c>
      <c r="J37">
        <v>4</v>
      </c>
      <c r="K37" t="s">
        <v>34</v>
      </c>
      <c r="L37" t="s">
        <v>30</v>
      </c>
      <c r="M37" s="6">
        <v>1.3185671451482801</v>
      </c>
    </row>
    <row r="38" spans="1:13" x14ac:dyDescent="0.3">
      <c r="A38">
        <v>1113</v>
      </c>
      <c r="B38" s="1">
        <v>45039</v>
      </c>
      <c r="C38" t="s">
        <v>13</v>
      </c>
      <c r="D38" t="s">
        <v>28</v>
      </c>
      <c r="E38" t="s">
        <v>15</v>
      </c>
      <c r="F38">
        <v>2191.27</v>
      </c>
      <c r="G38">
        <v>-497.54</v>
      </c>
      <c r="H38">
        <v>1</v>
      </c>
      <c r="I38">
        <v>2023</v>
      </c>
      <c r="J38">
        <v>4</v>
      </c>
      <c r="K38" t="s">
        <v>34</v>
      </c>
      <c r="L38" t="s">
        <v>27</v>
      </c>
      <c r="M38" s="6">
        <v>-0.22705554313252099</v>
      </c>
    </row>
    <row r="39" spans="1:13" x14ac:dyDescent="0.3">
      <c r="A39">
        <v>1115</v>
      </c>
      <c r="B39" s="1">
        <v>45041</v>
      </c>
      <c r="C39" t="s">
        <v>13</v>
      </c>
      <c r="D39" t="s">
        <v>14</v>
      </c>
      <c r="E39" t="s">
        <v>19</v>
      </c>
      <c r="F39">
        <v>1812</v>
      </c>
      <c r="G39">
        <v>714.61</v>
      </c>
      <c r="H39">
        <v>4</v>
      </c>
      <c r="I39">
        <v>2023</v>
      </c>
      <c r="J39">
        <v>4</v>
      </c>
      <c r="K39" t="s">
        <v>34</v>
      </c>
      <c r="L39" t="s">
        <v>32</v>
      </c>
      <c r="M39" s="6">
        <v>0.39437637969094902</v>
      </c>
    </row>
    <row r="40" spans="1:13" x14ac:dyDescent="0.3">
      <c r="A40">
        <v>1117</v>
      </c>
      <c r="B40" s="1">
        <v>45043</v>
      </c>
      <c r="C40" t="s">
        <v>13</v>
      </c>
      <c r="D40" t="s">
        <v>28</v>
      </c>
      <c r="E40" t="s">
        <v>29</v>
      </c>
      <c r="F40">
        <v>3162.38</v>
      </c>
      <c r="G40">
        <v>616.83000000000004</v>
      </c>
      <c r="H40">
        <v>7</v>
      </c>
      <c r="I40">
        <v>2023</v>
      </c>
      <c r="J40">
        <v>4</v>
      </c>
      <c r="K40" t="s">
        <v>34</v>
      </c>
      <c r="L40" t="s">
        <v>20</v>
      </c>
      <c r="M40" s="6">
        <v>0.19505246048861899</v>
      </c>
    </row>
    <row r="41" spans="1:13" x14ac:dyDescent="0.3">
      <c r="A41">
        <v>1121</v>
      </c>
      <c r="B41" s="1">
        <v>45047</v>
      </c>
      <c r="C41" t="s">
        <v>13</v>
      </c>
      <c r="D41" t="s">
        <v>18</v>
      </c>
      <c r="E41" t="s">
        <v>29</v>
      </c>
      <c r="F41">
        <v>1540.82</v>
      </c>
      <c r="G41">
        <v>151.85</v>
      </c>
      <c r="H41">
        <v>5</v>
      </c>
      <c r="I41">
        <v>2023</v>
      </c>
      <c r="J41">
        <v>5</v>
      </c>
      <c r="K41" t="s">
        <v>35</v>
      </c>
      <c r="L41" t="s">
        <v>17</v>
      </c>
      <c r="M41" s="6">
        <v>9.8551420672109702E-2</v>
      </c>
    </row>
    <row r="42" spans="1:13" x14ac:dyDescent="0.3">
      <c r="A42">
        <v>1126</v>
      </c>
      <c r="B42" s="1">
        <v>45052</v>
      </c>
      <c r="C42" t="s">
        <v>13</v>
      </c>
      <c r="D42" t="s">
        <v>21</v>
      </c>
      <c r="E42" t="s">
        <v>29</v>
      </c>
      <c r="F42">
        <v>2535.36</v>
      </c>
      <c r="G42">
        <v>429.2</v>
      </c>
      <c r="H42">
        <v>9</v>
      </c>
      <c r="I42">
        <v>2023</v>
      </c>
      <c r="J42">
        <v>5</v>
      </c>
      <c r="K42" t="s">
        <v>35</v>
      </c>
      <c r="L42" t="s">
        <v>26</v>
      </c>
      <c r="M42" s="6">
        <v>0.16928562413227299</v>
      </c>
    </row>
    <row r="43" spans="1:13" x14ac:dyDescent="0.3">
      <c r="A43">
        <v>1128</v>
      </c>
      <c r="B43" s="1">
        <v>45054</v>
      </c>
      <c r="C43" t="s">
        <v>13</v>
      </c>
      <c r="D43" t="s">
        <v>14</v>
      </c>
      <c r="E43" t="s">
        <v>29</v>
      </c>
      <c r="F43">
        <v>604.61</v>
      </c>
      <c r="G43">
        <v>291.08999999999997</v>
      </c>
      <c r="H43">
        <v>4</v>
      </c>
      <c r="I43">
        <v>2023</v>
      </c>
      <c r="J43">
        <v>5</v>
      </c>
      <c r="K43" t="s">
        <v>35</v>
      </c>
      <c r="L43" t="s">
        <v>17</v>
      </c>
      <c r="M43" s="6">
        <v>0.481450852615736</v>
      </c>
    </row>
    <row r="44" spans="1:13" x14ac:dyDescent="0.3">
      <c r="A44">
        <v>1132</v>
      </c>
      <c r="B44" s="1">
        <v>45058</v>
      </c>
      <c r="C44" t="s">
        <v>13</v>
      </c>
      <c r="D44" t="s">
        <v>25</v>
      </c>
      <c r="E44" t="s">
        <v>29</v>
      </c>
      <c r="F44">
        <v>1434.28</v>
      </c>
      <c r="G44">
        <v>1014.12</v>
      </c>
      <c r="H44">
        <v>8</v>
      </c>
      <c r="I44">
        <v>2023</v>
      </c>
      <c r="J44">
        <v>5</v>
      </c>
      <c r="K44" t="s">
        <v>35</v>
      </c>
      <c r="L44" t="s">
        <v>23</v>
      </c>
      <c r="M44" s="6">
        <v>0.70705859385893999</v>
      </c>
    </row>
    <row r="45" spans="1:13" x14ac:dyDescent="0.3">
      <c r="A45">
        <v>1133</v>
      </c>
      <c r="B45" s="1">
        <v>45059</v>
      </c>
      <c r="C45" t="s">
        <v>13</v>
      </c>
      <c r="D45" t="s">
        <v>28</v>
      </c>
      <c r="E45" t="s">
        <v>19</v>
      </c>
      <c r="F45">
        <v>4497.41</v>
      </c>
      <c r="G45">
        <v>1405.3</v>
      </c>
      <c r="H45">
        <v>7</v>
      </c>
      <c r="I45">
        <v>2023</v>
      </c>
      <c r="J45">
        <v>5</v>
      </c>
      <c r="K45" t="s">
        <v>35</v>
      </c>
      <c r="L45" t="s">
        <v>26</v>
      </c>
      <c r="M45" s="6">
        <v>0.31246873200353098</v>
      </c>
    </row>
    <row r="46" spans="1:13" x14ac:dyDescent="0.3">
      <c r="A46">
        <v>1140</v>
      </c>
      <c r="B46" s="1">
        <v>45066</v>
      </c>
      <c r="C46" t="s">
        <v>13</v>
      </c>
      <c r="D46" t="s">
        <v>21</v>
      </c>
      <c r="E46" t="s">
        <v>29</v>
      </c>
      <c r="F46">
        <v>2803.44</v>
      </c>
      <c r="G46">
        <v>-463.26</v>
      </c>
      <c r="H46">
        <v>1</v>
      </c>
      <c r="I46">
        <v>2023</v>
      </c>
      <c r="J46">
        <v>5</v>
      </c>
      <c r="K46" t="s">
        <v>35</v>
      </c>
      <c r="L46" t="s">
        <v>26</v>
      </c>
      <c r="M46" s="6">
        <v>-0.16524698227891399</v>
      </c>
    </row>
    <row r="47" spans="1:13" x14ac:dyDescent="0.3">
      <c r="A47">
        <v>1145</v>
      </c>
      <c r="B47" s="1">
        <v>45071</v>
      </c>
      <c r="C47" t="s">
        <v>13</v>
      </c>
      <c r="D47" t="s">
        <v>14</v>
      </c>
      <c r="E47" t="s">
        <v>15</v>
      </c>
      <c r="F47">
        <v>1762.43</v>
      </c>
      <c r="G47">
        <v>1382.48</v>
      </c>
      <c r="H47">
        <v>5</v>
      </c>
      <c r="I47">
        <v>2023</v>
      </c>
      <c r="J47">
        <v>5</v>
      </c>
      <c r="K47" t="s">
        <v>35</v>
      </c>
      <c r="L47" t="s">
        <v>20</v>
      </c>
      <c r="M47" s="6">
        <v>0.78441696975199005</v>
      </c>
    </row>
    <row r="48" spans="1:13" x14ac:dyDescent="0.3">
      <c r="A48">
        <v>1149</v>
      </c>
      <c r="B48" s="1">
        <v>45075</v>
      </c>
      <c r="C48" t="s">
        <v>13</v>
      </c>
      <c r="D48" t="s">
        <v>21</v>
      </c>
      <c r="E48" t="s">
        <v>19</v>
      </c>
      <c r="F48">
        <v>3631.98</v>
      </c>
      <c r="G48">
        <v>-334.98</v>
      </c>
      <c r="H48">
        <v>1</v>
      </c>
      <c r="I48">
        <v>2023</v>
      </c>
      <c r="J48">
        <v>5</v>
      </c>
      <c r="K48" t="s">
        <v>35</v>
      </c>
      <c r="L48" t="s">
        <v>17</v>
      </c>
      <c r="M48" s="6">
        <v>-9.2230684089670098E-2</v>
      </c>
    </row>
    <row r="49" spans="1:13" x14ac:dyDescent="0.3">
      <c r="A49">
        <v>1150</v>
      </c>
      <c r="B49" s="1">
        <v>45076</v>
      </c>
      <c r="C49" t="s">
        <v>13</v>
      </c>
      <c r="D49" t="s">
        <v>28</v>
      </c>
      <c r="E49" t="s">
        <v>22</v>
      </c>
      <c r="F49">
        <v>4046.04</v>
      </c>
      <c r="G49">
        <v>1149.03</v>
      </c>
      <c r="H49">
        <v>3</v>
      </c>
      <c r="I49">
        <v>2023</v>
      </c>
      <c r="J49">
        <v>5</v>
      </c>
      <c r="K49" t="s">
        <v>35</v>
      </c>
      <c r="L49" t="s">
        <v>32</v>
      </c>
      <c r="M49" s="6">
        <v>0.28398878903817099</v>
      </c>
    </row>
    <row r="50" spans="1:13" x14ac:dyDescent="0.3">
      <c r="A50">
        <v>1152</v>
      </c>
      <c r="B50" s="1">
        <v>45078</v>
      </c>
      <c r="C50" t="s">
        <v>13</v>
      </c>
      <c r="D50" t="s">
        <v>25</v>
      </c>
      <c r="E50" t="s">
        <v>15</v>
      </c>
      <c r="F50">
        <v>3055.67</v>
      </c>
      <c r="G50">
        <v>144.19</v>
      </c>
      <c r="H50">
        <v>7</v>
      </c>
      <c r="I50">
        <v>2023</v>
      </c>
      <c r="J50">
        <v>6</v>
      </c>
      <c r="K50" t="s">
        <v>36</v>
      </c>
      <c r="L50" t="s">
        <v>20</v>
      </c>
      <c r="M50" s="6">
        <v>4.7187687152081201E-2</v>
      </c>
    </row>
    <row r="51" spans="1:13" x14ac:dyDescent="0.3">
      <c r="A51">
        <v>1155</v>
      </c>
      <c r="B51" s="1">
        <v>45081</v>
      </c>
      <c r="C51" t="s">
        <v>13</v>
      </c>
      <c r="D51" t="s">
        <v>18</v>
      </c>
      <c r="E51" t="s">
        <v>29</v>
      </c>
      <c r="F51">
        <v>4727.6099999999997</v>
      </c>
      <c r="G51">
        <v>886.39</v>
      </c>
      <c r="H51">
        <v>7</v>
      </c>
      <c r="I51">
        <v>2023</v>
      </c>
      <c r="J51">
        <v>6</v>
      </c>
      <c r="K51" t="s">
        <v>36</v>
      </c>
      <c r="L51" t="s">
        <v>27</v>
      </c>
      <c r="M51" s="6">
        <v>0.18749220007572501</v>
      </c>
    </row>
    <row r="52" spans="1:13" x14ac:dyDescent="0.3">
      <c r="A52">
        <v>1158</v>
      </c>
      <c r="B52" s="1">
        <v>45084</v>
      </c>
      <c r="C52" t="s">
        <v>13</v>
      </c>
      <c r="D52" t="s">
        <v>21</v>
      </c>
      <c r="E52" t="s">
        <v>29</v>
      </c>
      <c r="F52">
        <v>1687.55</v>
      </c>
      <c r="G52">
        <v>840.77</v>
      </c>
      <c r="H52">
        <v>6</v>
      </c>
      <c r="I52">
        <v>2023</v>
      </c>
      <c r="J52">
        <v>6</v>
      </c>
      <c r="K52" t="s">
        <v>36</v>
      </c>
      <c r="L52" t="s">
        <v>30</v>
      </c>
      <c r="M52" s="6">
        <v>0.498219312020385</v>
      </c>
    </row>
    <row r="53" spans="1:13" x14ac:dyDescent="0.3">
      <c r="A53">
        <v>1159</v>
      </c>
      <c r="B53" s="1">
        <v>45085</v>
      </c>
      <c r="C53" t="s">
        <v>13</v>
      </c>
      <c r="D53" t="s">
        <v>25</v>
      </c>
      <c r="E53" t="s">
        <v>19</v>
      </c>
      <c r="F53">
        <v>525.92999999999995</v>
      </c>
      <c r="G53">
        <v>1403.1</v>
      </c>
      <c r="H53">
        <v>6</v>
      </c>
      <c r="I53">
        <v>2023</v>
      </c>
      <c r="J53">
        <v>6</v>
      </c>
      <c r="K53" t="s">
        <v>36</v>
      </c>
      <c r="L53" t="s">
        <v>20</v>
      </c>
      <c r="M53" s="6">
        <v>2.6678455307740601</v>
      </c>
    </row>
    <row r="54" spans="1:13" x14ac:dyDescent="0.3">
      <c r="A54">
        <v>1166</v>
      </c>
      <c r="B54" s="1">
        <v>45092</v>
      </c>
      <c r="C54" t="s">
        <v>13</v>
      </c>
      <c r="D54" t="s">
        <v>18</v>
      </c>
      <c r="E54" t="s">
        <v>15</v>
      </c>
      <c r="F54">
        <v>3549.34</v>
      </c>
      <c r="G54">
        <v>1370.4</v>
      </c>
      <c r="H54">
        <v>8</v>
      </c>
      <c r="I54">
        <v>2023</v>
      </c>
      <c r="J54">
        <v>6</v>
      </c>
      <c r="K54" t="s">
        <v>36</v>
      </c>
      <c r="L54" t="s">
        <v>20</v>
      </c>
      <c r="M54" s="6">
        <v>0.386099950976801</v>
      </c>
    </row>
    <row r="55" spans="1:13" x14ac:dyDescent="0.3">
      <c r="A55">
        <v>1168</v>
      </c>
      <c r="B55" s="1">
        <v>45094</v>
      </c>
      <c r="C55" t="s">
        <v>13</v>
      </c>
      <c r="D55" t="s">
        <v>18</v>
      </c>
      <c r="E55" t="s">
        <v>22</v>
      </c>
      <c r="F55">
        <v>3161.33</v>
      </c>
      <c r="G55">
        <v>750.61</v>
      </c>
      <c r="H55">
        <v>3</v>
      </c>
      <c r="I55">
        <v>2023</v>
      </c>
      <c r="J55">
        <v>6</v>
      </c>
      <c r="K55" t="s">
        <v>36</v>
      </c>
      <c r="L55" t="s">
        <v>26</v>
      </c>
      <c r="M55" s="6">
        <v>0.23743487709286901</v>
      </c>
    </row>
    <row r="56" spans="1:13" x14ac:dyDescent="0.3">
      <c r="A56">
        <v>1169</v>
      </c>
      <c r="B56" s="1">
        <v>45095</v>
      </c>
      <c r="C56" t="s">
        <v>13</v>
      </c>
      <c r="D56" t="s">
        <v>28</v>
      </c>
      <c r="E56" t="s">
        <v>22</v>
      </c>
      <c r="F56">
        <v>1745.74</v>
      </c>
      <c r="G56">
        <v>1066.8499999999999</v>
      </c>
      <c r="H56">
        <v>7</v>
      </c>
      <c r="I56">
        <v>2023</v>
      </c>
      <c r="J56">
        <v>6</v>
      </c>
      <c r="K56" t="s">
        <v>36</v>
      </c>
      <c r="L56" t="s">
        <v>27</v>
      </c>
      <c r="M56" s="6">
        <v>0.611116202870989</v>
      </c>
    </row>
    <row r="57" spans="1:13" x14ac:dyDescent="0.3">
      <c r="A57">
        <v>1176</v>
      </c>
      <c r="B57" s="1">
        <v>45102</v>
      </c>
      <c r="C57" t="s">
        <v>13</v>
      </c>
      <c r="D57" t="s">
        <v>25</v>
      </c>
      <c r="E57" t="s">
        <v>29</v>
      </c>
      <c r="F57">
        <v>1877.51</v>
      </c>
      <c r="G57">
        <v>461.81</v>
      </c>
      <c r="H57">
        <v>3</v>
      </c>
      <c r="I57">
        <v>2023</v>
      </c>
      <c r="J57">
        <v>6</v>
      </c>
      <c r="K57" t="s">
        <v>36</v>
      </c>
      <c r="L57" t="s">
        <v>27</v>
      </c>
      <c r="M57" s="6">
        <v>0.24596939563570899</v>
      </c>
    </row>
    <row r="58" spans="1:13" x14ac:dyDescent="0.3">
      <c r="A58">
        <v>1179</v>
      </c>
      <c r="B58" s="1">
        <v>45105</v>
      </c>
      <c r="C58" t="s">
        <v>13</v>
      </c>
      <c r="D58" t="s">
        <v>21</v>
      </c>
      <c r="E58" t="s">
        <v>15</v>
      </c>
      <c r="F58">
        <v>4875.28</v>
      </c>
      <c r="G58">
        <v>377.21</v>
      </c>
      <c r="H58">
        <v>2</v>
      </c>
      <c r="I58">
        <v>2023</v>
      </c>
      <c r="J58">
        <v>6</v>
      </c>
      <c r="K58" t="s">
        <v>36</v>
      </c>
      <c r="L58" t="s">
        <v>30</v>
      </c>
      <c r="M58" s="6">
        <v>7.7371966328087793E-2</v>
      </c>
    </row>
    <row r="59" spans="1:13" x14ac:dyDescent="0.3">
      <c r="A59">
        <v>1180</v>
      </c>
      <c r="B59" s="1">
        <v>45106</v>
      </c>
      <c r="C59" t="s">
        <v>13</v>
      </c>
      <c r="D59" t="s">
        <v>24</v>
      </c>
      <c r="E59" t="s">
        <v>19</v>
      </c>
      <c r="F59">
        <v>3920.82</v>
      </c>
      <c r="G59">
        <v>949.65</v>
      </c>
      <c r="H59">
        <v>9</v>
      </c>
      <c r="I59">
        <v>2023</v>
      </c>
      <c r="J59">
        <v>6</v>
      </c>
      <c r="K59" t="s">
        <v>36</v>
      </c>
      <c r="L59" t="s">
        <v>20</v>
      </c>
      <c r="M59" s="6">
        <v>0.24220698731387799</v>
      </c>
    </row>
    <row r="60" spans="1:13" x14ac:dyDescent="0.3">
      <c r="A60">
        <v>1181</v>
      </c>
      <c r="B60" s="1">
        <v>45107</v>
      </c>
      <c r="C60" t="s">
        <v>13</v>
      </c>
      <c r="D60" t="s">
        <v>21</v>
      </c>
      <c r="E60" t="s">
        <v>15</v>
      </c>
      <c r="F60">
        <v>659.77</v>
      </c>
      <c r="G60">
        <v>686.56</v>
      </c>
      <c r="H60">
        <v>2</v>
      </c>
      <c r="I60">
        <v>2023</v>
      </c>
      <c r="J60">
        <v>6</v>
      </c>
      <c r="K60" t="s">
        <v>36</v>
      </c>
      <c r="L60" t="s">
        <v>23</v>
      </c>
      <c r="M60" s="6">
        <v>1.0406050593388601</v>
      </c>
    </row>
    <row r="61" spans="1:13" x14ac:dyDescent="0.3">
      <c r="A61">
        <v>1184</v>
      </c>
      <c r="B61" s="1">
        <v>45110</v>
      </c>
      <c r="C61" t="s">
        <v>13</v>
      </c>
      <c r="D61" t="s">
        <v>28</v>
      </c>
      <c r="E61" t="s">
        <v>15</v>
      </c>
      <c r="F61">
        <v>2408.2199999999998</v>
      </c>
      <c r="G61">
        <v>731.48</v>
      </c>
      <c r="H61">
        <v>1</v>
      </c>
      <c r="I61">
        <v>2023</v>
      </c>
      <c r="J61">
        <v>7</v>
      </c>
      <c r="K61" t="s">
        <v>37</v>
      </c>
      <c r="L61" t="s">
        <v>17</v>
      </c>
      <c r="M61" s="6">
        <v>0.30374301351205502</v>
      </c>
    </row>
    <row r="62" spans="1:13" x14ac:dyDescent="0.3">
      <c r="A62">
        <v>1185</v>
      </c>
      <c r="B62" s="1">
        <v>45111</v>
      </c>
      <c r="C62" t="s">
        <v>13</v>
      </c>
      <c r="D62" t="s">
        <v>21</v>
      </c>
      <c r="E62" t="s">
        <v>15</v>
      </c>
      <c r="F62">
        <v>992.32</v>
      </c>
      <c r="G62">
        <v>158.03</v>
      </c>
      <c r="H62">
        <v>4</v>
      </c>
      <c r="I62">
        <v>2023</v>
      </c>
      <c r="J62">
        <v>7</v>
      </c>
      <c r="K62" t="s">
        <v>37</v>
      </c>
      <c r="L62" t="s">
        <v>32</v>
      </c>
      <c r="M62" s="6">
        <v>0.15925306352789401</v>
      </c>
    </row>
    <row r="63" spans="1:13" x14ac:dyDescent="0.3">
      <c r="A63">
        <v>1186</v>
      </c>
      <c r="B63" s="1">
        <v>45112</v>
      </c>
      <c r="C63" t="s">
        <v>13</v>
      </c>
      <c r="D63" t="s">
        <v>24</v>
      </c>
      <c r="E63" t="s">
        <v>22</v>
      </c>
      <c r="F63">
        <v>2475.41</v>
      </c>
      <c r="G63">
        <v>440.37</v>
      </c>
      <c r="H63">
        <v>1</v>
      </c>
      <c r="I63">
        <v>2023</v>
      </c>
      <c r="J63">
        <v>7</v>
      </c>
      <c r="K63" t="s">
        <v>37</v>
      </c>
      <c r="L63" t="s">
        <v>30</v>
      </c>
      <c r="M63" s="6">
        <v>0.17789780278822501</v>
      </c>
    </row>
    <row r="64" spans="1:13" x14ac:dyDescent="0.3">
      <c r="A64">
        <v>1191</v>
      </c>
      <c r="B64" s="1">
        <v>45117</v>
      </c>
      <c r="C64" t="s">
        <v>13</v>
      </c>
      <c r="D64" t="s">
        <v>28</v>
      </c>
      <c r="E64" t="s">
        <v>22</v>
      </c>
      <c r="F64">
        <v>1168.31</v>
      </c>
      <c r="G64">
        <v>-176.65</v>
      </c>
      <c r="H64">
        <v>9</v>
      </c>
      <c r="I64">
        <v>2023</v>
      </c>
      <c r="J64">
        <v>7</v>
      </c>
      <c r="K64" t="s">
        <v>37</v>
      </c>
      <c r="L64" t="s">
        <v>17</v>
      </c>
      <c r="M64" s="6">
        <v>-0.15120130787205499</v>
      </c>
    </row>
    <row r="65" spans="1:13" x14ac:dyDescent="0.3">
      <c r="A65">
        <v>1193</v>
      </c>
      <c r="B65" s="1">
        <v>45119</v>
      </c>
      <c r="C65" t="s">
        <v>13</v>
      </c>
      <c r="D65" t="s">
        <v>25</v>
      </c>
      <c r="E65" t="s">
        <v>22</v>
      </c>
      <c r="F65">
        <v>2166.35</v>
      </c>
      <c r="G65">
        <v>806.53</v>
      </c>
      <c r="H65">
        <v>9</v>
      </c>
      <c r="I65">
        <v>2023</v>
      </c>
      <c r="J65">
        <v>7</v>
      </c>
      <c r="K65" t="s">
        <v>37</v>
      </c>
      <c r="L65" t="s">
        <v>30</v>
      </c>
      <c r="M65" s="6">
        <v>0.37229902831952399</v>
      </c>
    </row>
    <row r="66" spans="1:13" x14ac:dyDescent="0.3">
      <c r="A66">
        <v>1194</v>
      </c>
      <c r="B66" s="1">
        <v>45120</v>
      </c>
      <c r="C66" t="s">
        <v>13</v>
      </c>
      <c r="D66" t="s">
        <v>21</v>
      </c>
      <c r="E66" t="s">
        <v>15</v>
      </c>
      <c r="F66">
        <v>748.15</v>
      </c>
      <c r="G66">
        <v>164.63</v>
      </c>
      <c r="H66">
        <v>5</v>
      </c>
      <c r="I66">
        <v>2023</v>
      </c>
      <c r="J66">
        <v>7</v>
      </c>
      <c r="K66" t="s">
        <v>37</v>
      </c>
      <c r="L66" t="s">
        <v>20</v>
      </c>
      <c r="M66" s="6">
        <v>0.22004945532313</v>
      </c>
    </row>
    <row r="67" spans="1:13" x14ac:dyDescent="0.3">
      <c r="A67">
        <v>1200</v>
      </c>
      <c r="B67" s="1">
        <v>45126</v>
      </c>
      <c r="C67" t="s">
        <v>13</v>
      </c>
      <c r="D67" t="s">
        <v>28</v>
      </c>
      <c r="E67" t="s">
        <v>29</v>
      </c>
      <c r="F67">
        <v>4093.77</v>
      </c>
      <c r="G67">
        <v>336.8</v>
      </c>
      <c r="H67">
        <v>9</v>
      </c>
      <c r="I67">
        <v>2023</v>
      </c>
      <c r="J67">
        <v>7</v>
      </c>
      <c r="K67" t="s">
        <v>37</v>
      </c>
      <c r="L67" t="s">
        <v>30</v>
      </c>
      <c r="M67" s="6">
        <v>8.2271353788805901E-2</v>
      </c>
    </row>
    <row r="68" spans="1:13" x14ac:dyDescent="0.3">
      <c r="A68">
        <v>1201</v>
      </c>
      <c r="B68" s="1">
        <v>45127</v>
      </c>
      <c r="C68" t="s">
        <v>13</v>
      </c>
      <c r="D68" t="s">
        <v>18</v>
      </c>
      <c r="E68" t="s">
        <v>19</v>
      </c>
      <c r="F68">
        <v>2540.64</v>
      </c>
      <c r="G68">
        <v>-92.84</v>
      </c>
      <c r="H68">
        <v>4</v>
      </c>
      <c r="I68">
        <v>2023</v>
      </c>
      <c r="J68">
        <v>7</v>
      </c>
      <c r="K68" t="s">
        <v>37</v>
      </c>
      <c r="L68" t="s">
        <v>20</v>
      </c>
      <c r="M68" s="6">
        <v>-3.6541973675924197E-2</v>
      </c>
    </row>
    <row r="69" spans="1:13" x14ac:dyDescent="0.3">
      <c r="A69">
        <v>1203</v>
      </c>
      <c r="B69" s="1">
        <v>45129</v>
      </c>
      <c r="C69" t="s">
        <v>13</v>
      </c>
      <c r="D69" t="s">
        <v>25</v>
      </c>
      <c r="E69" t="s">
        <v>15</v>
      </c>
      <c r="F69">
        <v>2085.7199999999998</v>
      </c>
      <c r="G69">
        <v>-151.61000000000001</v>
      </c>
      <c r="H69">
        <v>2</v>
      </c>
      <c r="I69">
        <v>2023</v>
      </c>
      <c r="J69">
        <v>7</v>
      </c>
      <c r="K69" t="s">
        <v>37</v>
      </c>
      <c r="L69" t="s">
        <v>26</v>
      </c>
      <c r="M69" s="6">
        <v>-7.2689526878008601E-2</v>
      </c>
    </row>
    <row r="70" spans="1:13" x14ac:dyDescent="0.3">
      <c r="A70">
        <v>1209</v>
      </c>
      <c r="B70" s="1">
        <v>45135</v>
      </c>
      <c r="C70" t="s">
        <v>13</v>
      </c>
      <c r="D70" t="s">
        <v>18</v>
      </c>
      <c r="E70" t="s">
        <v>22</v>
      </c>
      <c r="F70">
        <v>1405.84</v>
      </c>
      <c r="G70">
        <v>1035.45</v>
      </c>
      <c r="H70">
        <v>5</v>
      </c>
      <c r="I70">
        <v>2023</v>
      </c>
      <c r="J70">
        <v>7</v>
      </c>
      <c r="K70" t="s">
        <v>37</v>
      </c>
      <c r="L70" t="s">
        <v>23</v>
      </c>
      <c r="M70" s="6">
        <v>0.73653474079553904</v>
      </c>
    </row>
    <row r="71" spans="1:13" x14ac:dyDescent="0.3">
      <c r="A71">
        <v>1210</v>
      </c>
      <c r="B71" s="1">
        <v>45136</v>
      </c>
      <c r="C71" t="s">
        <v>13</v>
      </c>
      <c r="D71" t="s">
        <v>25</v>
      </c>
      <c r="E71" t="s">
        <v>19</v>
      </c>
      <c r="F71">
        <v>3687.7</v>
      </c>
      <c r="G71">
        <v>509.69</v>
      </c>
      <c r="H71">
        <v>3</v>
      </c>
      <c r="I71">
        <v>2023</v>
      </c>
      <c r="J71">
        <v>7</v>
      </c>
      <c r="K71" t="s">
        <v>37</v>
      </c>
      <c r="L71" t="s">
        <v>26</v>
      </c>
      <c r="M71" s="6">
        <v>0.13821352062261</v>
      </c>
    </row>
    <row r="72" spans="1:13" x14ac:dyDescent="0.3">
      <c r="A72">
        <v>1211</v>
      </c>
      <c r="B72" s="1">
        <v>45137</v>
      </c>
      <c r="C72" t="s">
        <v>13</v>
      </c>
      <c r="D72" t="s">
        <v>28</v>
      </c>
      <c r="E72" t="s">
        <v>29</v>
      </c>
      <c r="F72">
        <v>1328.58</v>
      </c>
      <c r="G72">
        <v>586.6</v>
      </c>
      <c r="H72">
        <v>2</v>
      </c>
      <c r="I72">
        <v>2023</v>
      </c>
      <c r="J72">
        <v>7</v>
      </c>
      <c r="K72" t="s">
        <v>37</v>
      </c>
      <c r="L72" t="s">
        <v>27</v>
      </c>
      <c r="M72" s="6">
        <v>0.44152403317828098</v>
      </c>
    </row>
    <row r="73" spans="1:13" x14ac:dyDescent="0.3">
      <c r="A73">
        <v>1212</v>
      </c>
      <c r="B73" s="1">
        <v>45138</v>
      </c>
      <c r="C73" t="s">
        <v>13</v>
      </c>
      <c r="D73" t="s">
        <v>25</v>
      </c>
      <c r="E73" t="s">
        <v>29</v>
      </c>
      <c r="F73">
        <v>3202.18</v>
      </c>
      <c r="G73">
        <v>527.99</v>
      </c>
      <c r="H73">
        <v>9</v>
      </c>
      <c r="I73">
        <v>2023</v>
      </c>
      <c r="J73">
        <v>7</v>
      </c>
      <c r="K73" t="s">
        <v>37</v>
      </c>
      <c r="L73" t="s">
        <v>17</v>
      </c>
      <c r="M73" s="6">
        <v>0.164884547402082</v>
      </c>
    </row>
    <row r="74" spans="1:13" x14ac:dyDescent="0.3">
      <c r="A74">
        <v>1214</v>
      </c>
      <c r="B74" s="1">
        <v>45140</v>
      </c>
      <c r="C74" t="s">
        <v>13</v>
      </c>
      <c r="D74" t="s">
        <v>25</v>
      </c>
      <c r="E74" t="s">
        <v>19</v>
      </c>
      <c r="F74">
        <v>2909.14</v>
      </c>
      <c r="G74">
        <v>-441.21</v>
      </c>
      <c r="H74">
        <v>2</v>
      </c>
      <c r="I74">
        <v>2023</v>
      </c>
      <c r="J74">
        <v>8</v>
      </c>
      <c r="K74" t="s">
        <v>38</v>
      </c>
      <c r="L74" t="s">
        <v>30</v>
      </c>
      <c r="M74" s="6">
        <v>-0.151663378180493</v>
      </c>
    </row>
    <row r="75" spans="1:13" x14ac:dyDescent="0.3">
      <c r="A75">
        <v>1219</v>
      </c>
      <c r="B75" s="1">
        <v>45145</v>
      </c>
      <c r="C75" t="s">
        <v>13</v>
      </c>
      <c r="D75" t="s">
        <v>14</v>
      </c>
      <c r="E75" t="s">
        <v>29</v>
      </c>
      <c r="F75">
        <v>1833.97</v>
      </c>
      <c r="G75">
        <v>810.02</v>
      </c>
      <c r="H75">
        <v>9</v>
      </c>
      <c r="I75">
        <v>2023</v>
      </c>
      <c r="J75">
        <v>8</v>
      </c>
      <c r="K75" t="s">
        <v>38</v>
      </c>
      <c r="L75" t="s">
        <v>17</v>
      </c>
      <c r="M75" s="6">
        <v>0.44167570898106301</v>
      </c>
    </row>
    <row r="76" spans="1:13" x14ac:dyDescent="0.3">
      <c r="A76">
        <v>1220</v>
      </c>
      <c r="B76" s="1">
        <v>45146</v>
      </c>
      <c r="C76" t="s">
        <v>13</v>
      </c>
      <c r="D76" t="s">
        <v>25</v>
      </c>
      <c r="E76" t="s">
        <v>29</v>
      </c>
      <c r="F76">
        <v>4797.2700000000004</v>
      </c>
      <c r="G76">
        <v>1484.27</v>
      </c>
      <c r="H76">
        <v>3</v>
      </c>
      <c r="I76">
        <v>2023</v>
      </c>
      <c r="J76">
        <v>8</v>
      </c>
      <c r="K76" t="s">
        <v>38</v>
      </c>
      <c r="L76" t="s">
        <v>32</v>
      </c>
      <c r="M76" s="6">
        <v>0.30939888728380899</v>
      </c>
    </row>
    <row r="77" spans="1:13" x14ac:dyDescent="0.3">
      <c r="A77">
        <v>1221</v>
      </c>
      <c r="B77" s="1">
        <v>45147</v>
      </c>
      <c r="C77" t="s">
        <v>13</v>
      </c>
      <c r="D77" t="s">
        <v>18</v>
      </c>
      <c r="E77" t="s">
        <v>22</v>
      </c>
      <c r="F77">
        <v>1003.42</v>
      </c>
      <c r="G77">
        <v>67.709999999999994</v>
      </c>
      <c r="H77">
        <v>5</v>
      </c>
      <c r="I77">
        <v>2023</v>
      </c>
      <c r="J77">
        <v>8</v>
      </c>
      <c r="K77" t="s">
        <v>38</v>
      </c>
      <c r="L77" t="s">
        <v>30</v>
      </c>
      <c r="M77" s="6">
        <v>6.7479221063961203E-2</v>
      </c>
    </row>
    <row r="78" spans="1:13" x14ac:dyDescent="0.3">
      <c r="A78">
        <v>1225</v>
      </c>
      <c r="B78" s="1">
        <v>45151</v>
      </c>
      <c r="C78" t="s">
        <v>13</v>
      </c>
      <c r="D78" t="s">
        <v>14</v>
      </c>
      <c r="E78" t="s">
        <v>22</v>
      </c>
      <c r="F78">
        <v>4201.6899999999996</v>
      </c>
      <c r="G78">
        <v>1172</v>
      </c>
      <c r="H78">
        <v>1</v>
      </c>
      <c r="I78">
        <v>2023</v>
      </c>
      <c r="J78">
        <v>8</v>
      </c>
      <c r="K78" t="s">
        <v>38</v>
      </c>
      <c r="L78" t="s">
        <v>27</v>
      </c>
      <c r="M78" s="6">
        <v>0.27893538076345498</v>
      </c>
    </row>
    <row r="79" spans="1:13" x14ac:dyDescent="0.3">
      <c r="A79">
        <v>1232</v>
      </c>
      <c r="B79" s="1">
        <v>45158</v>
      </c>
      <c r="C79" t="s">
        <v>13</v>
      </c>
      <c r="D79" t="s">
        <v>25</v>
      </c>
      <c r="E79" t="s">
        <v>15</v>
      </c>
      <c r="F79">
        <v>4775.03</v>
      </c>
      <c r="G79">
        <v>525.23</v>
      </c>
      <c r="H79">
        <v>7</v>
      </c>
      <c r="I79">
        <v>2023</v>
      </c>
      <c r="J79">
        <v>8</v>
      </c>
      <c r="K79" t="s">
        <v>38</v>
      </c>
      <c r="L79" t="s">
        <v>27</v>
      </c>
      <c r="M79" s="6">
        <v>0.109995120449505</v>
      </c>
    </row>
    <row r="80" spans="1:13" x14ac:dyDescent="0.3">
      <c r="A80">
        <v>1235</v>
      </c>
      <c r="B80" s="1">
        <v>45161</v>
      </c>
      <c r="C80" t="s">
        <v>13</v>
      </c>
      <c r="D80" t="s">
        <v>25</v>
      </c>
      <c r="E80" t="s">
        <v>29</v>
      </c>
      <c r="F80">
        <v>1422.56</v>
      </c>
      <c r="G80">
        <v>374.33</v>
      </c>
      <c r="H80">
        <v>4</v>
      </c>
      <c r="I80">
        <v>2023</v>
      </c>
      <c r="J80">
        <v>8</v>
      </c>
      <c r="K80" t="s">
        <v>38</v>
      </c>
      <c r="L80" t="s">
        <v>30</v>
      </c>
      <c r="M80" s="6">
        <v>0.26313828590709698</v>
      </c>
    </row>
    <row r="81" spans="1:13" x14ac:dyDescent="0.3">
      <c r="A81">
        <v>1241</v>
      </c>
      <c r="B81" s="1">
        <v>45167</v>
      </c>
      <c r="C81" t="s">
        <v>13</v>
      </c>
      <c r="D81" t="s">
        <v>14</v>
      </c>
      <c r="E81" t="s">
        <v>15</v>
      </c>
      <c r="F81">
        <v>857.89</v>
      </c>
      <c r="G81">
        <v>-309.48</v>
      </c>
      <c r="H81">
        <v>3</v>
      </c>
      <c r="I81">
        <v>2023</v>
      </c>
      <c r="J81">
        <v>8</v>
      </c>
      <c r="K81" t="s">
        <v>38</v>
      </c>
      <c r="L81" t="s">
        <v>32</v>
      </c>
      <c r="M81" s="6">
        <v>-0.36074555012880399</v>
      </c>
    </row>
    <row r="82" spans="1:13" x14ac:dyDescent="0.3">
      <c r="A82">
        <v>1242</v>
      </c>
      <c r="B82" s="1">
        <v>45168</v>
      </c>
      <c r="C82" t="s">
        <v>13</v>
      </c>
      <c r="D82" t="s">
        <v>25</v>
      </c>
      <c r="E82" t="s">
        <v>19</v>
      </c>
      <c r="F82">
        <v>3154.33</v>
      </c>
      <c r="G82">
        <v>804.25</v>
      </c>
      <c r="H82">
        <v>7</v>
      </c>
      <c r="I82">
        <v>2023</v>
      </c>
      <c r="J82">
        <v>8</v>
      </c>
      <c r="K82" t="s">
        <v>38</v>
      </c>
      <c r="L82" t="s">
        <v>30</v>
      </c>
      <c r="M82" s="6">
        <v>0.25496698189472899</v>
      </c>
    </row>
    <row r="83" spans="1:13" x14ac:dyDescent="0.3">
      <c r="A83">
        <v>1245</v>
      </c>
      <c r="B83" s="1">
        <v>45171</v>
      </c>
      <c r="C83" t="s">
        <v>13</v>
      </c>
      <c r="D83" t="s">
        <v>24</v>
      </c>
      <c r="E83" t="s">
        <v>22</v>
      </c>
      <c r="F83">
        <v>1822.55</v>
      </c>
      <c r="G83">
        <v>1215.97</v>
      </c>
      <c r="H83">
        <v>5</v>
      </c>
      <c r="I83">
        <v>2023</v>
      </c>
      <c r="J83">
        <v>9</v>
      </c>
      <c r="K83" t="s">
        <v>39</v>
      </c>
      <c r="L83" t="s">
        <v>26</v>
      </c>
      <c r="M83" s="6">
        <v>0.66718059861183499</v>
      </c>
    </row>
    <row r="84" spans="1:13" x14ac:dyDescent="0.3">
      <c r="A84">
        <v>1254</v>
      </c>
      <c r="B84" s="1">
        <v>45180</v>
      </c>
      <c r="C84" t="s">
        <v>13</v>
      </c>
      <c r="D84" t="s">
        <v>28</v>
      </c>
      <c r="E84" t="s">
        <v>15</v>
      </c>
      <c r="F84">
        <v>125.74</v>
      </c>
      <c r="G84">
        <v>161.78</v>
      </c>
      <c r="H84">
        <v>7</v>
      </c>
      <c r="I84">
        <v>2023</v>
      </c>
      <c r="J84">
        <v>9</v>
      </c>
      <c r="K84" t="s">
        <v>39</v>
      </c>
      <c r="L84" t="s">
        <v>17</v>
      </c>
      <c r="M84" s="6">
        <v>1.28662319071099</v>
      </c>
    </row>
    <row r="85" spans="1:13" x14ac:dyDescent="0.3">
      <c r="A85">
        <v>1255</v>
      </c>
      <c r="B85" s="1">
        <v>45181</v>
      </c>
      <c r="C85" t="s">
        <v>13</v>
      </c>
      <c r="D85" t="s">
        <v>28</v>
      </c>
      <c r="E85" t="s">
        <v>19</v>
      </c>
      <c r="F85">
        <v>605.16</v>
      </c>
      <c r="G85">
        <v>397.56</v>
      </c>
      <c r="H85">
        <v>8</v>
      </c>
      <c r="I85">
        <v>2023</v>
      </c>
      <c r="J85">
        <v>9</v>
      </c>
      <c r="K85" t="s">
        <v>39</v>
      </c>
      <c r="L85" t="s">
        <v>32</v>
      </c>
      <c r="M85" s="6">
        <v>0.65695022803886605</v>
      </c>
    </row>
    <row r="86" spans="1:13" x14ac:dyDescent="0.3">
      <c r="A86">
        <v>1258</v>
      </c>
      <c r="B86" s="1">
        <v>45184</v>
      </c>
      <c r="C86" t="s">
        <v>13</v>
      </c>
      <c r="D86" t="s">
        <v>18</v>
      </c>
      <c r="E86" t="s">
        <v>15</v>
      </c>
      <c r="F86">
        <v>4814.28</v>
      </c>
      <c r="G86">
        <v>398.87</v>
      </c>
      <c r="H86">
        <v>1</v>
      </c>
      <c r="I86">
        <v>2023</v>
      </c>
      <c r="J86">
        <v>9</v>
      </c>
      <c r="K86" t="s">
        <v>39</v>
      </c>
      <c r="L86" t="s">
        <v>23</v>
      </c>
      <c r="M86" s="6">
        <v>8.28514336515533E-2</v>
      </c>
    </row>
    <row r="87" spans="1:13" x14ac:dyDescent="0.3">
      <c r="A87">
        <v>1260</v>
      </c>
      <c r="B87" s="1">
        <v>45186</v>
      </c>
      <c r="C87" t="s">
        <v>13</v>
      </c>
      <c r="D87" t="s">
        <v>28</v>
      </c>
      <c r="E87" t="s">
        <v>22</v>
      </c>
      <c r="F87">
        <v>3483.75</v>
      </c>
      <c r="G87">
        <v>1397.17</v>
      </c>
      <c r="H87">
        <v>2</v>
      </c>
      <c r="I87">
        <v>2023</v>
      </c>
      <c r="J87">
        <v>9</v>
      </c>
      <c r="K87" t="s">
        <v>39</v>
      </c>
      <c r="L87" t="s">
        <v>27</v>
      </c>
      <c r="M87" s="6">
        <v>0.40105346250448498</v>
      </c>
    </row>
    <row r="88" spans="1:13" x14ac:dyDescent="0.3">
      <c r="A88">
        <v>1261</v>
      </c>
      <c r="B88" s="1">
        <v>45187</v>
      </c>
      <c r="C88" t="s">
        <v>13</v>
      </c>
      <c r="D88" t="s">
        <v>24</v>
      </c>
      <c r="E88" t="s">
        <v>22</v>
      </c>
      <c r="F88">
        <v>2654.37</v>
      </c>
      <c r="G88">
        <v>5.0599999999999996</v>
      </c>
      <c r="H88">
        <v>5</v>
      </c>
      <c r="I88">
        <v>2023</v>
      </c>
      <c r="J88">
        <v>9</v>
      </c>
      <c r="K88" t="s">
        <v>39</v>
      </c>
      <c r="L88" t="s">
        <v>17</v>
      </c>
      <c r="M88" s="6">
        <v>1.90629038152179E-3</v>
      </c>
    </row>
    <row r="89" spans="1:13" x14ac:dyDescent="0.3">
      <c r="A89">
        <v>1270</v>
      </c>
      <c r="B89" s="1">
        <v>45196</v>
      </c>
      <c r="C89" t="s">
        <v>13</v>
      </c>
      <c r="D89" t="s">
        <v>14</v>
      </c>
      <c r="E89" t="s">
        <v>19</v>
      </c>
      <c r="F89">
        <v>4526.4799999999996</v>
      </c>
      <c r="G89">
        <v>1228.43</v>
      </c>
      <c r="H89">
        <v>4</v>
      </c>
      <c r="I89">
        <v>2023</v>
      </c>
      <c r="J89">
        <v>9</v>
      </c>
      <c r="K89" t="s">
        <v>39</v>
      </c>
      <c r="L89" t="s">
        <v>30</v>
      </c>
      <c r="M89" s="6">
        <v>0.27138747989607798</v>
      </c>
    </row>
    <row r="90" spans="1:13" x14ac:dyDescent="0.3">
      <c r="A90">
        <v>1271</v>
      </c>
      <c r="B90" s="1">
        <v>45197</v>
      </c>
      <c r="C90" t="s">
        <v>13</v>
      </c>
      <c r="D90" t="s">
        <v>28</v>
      </c>
      <c r="E90" t="s">
        <v>29</v>
      </c>
      <c r="F90">
        <v>3268.66</v>
      </c>
      <c r="G90">
        <v>616.28</v>
      </c>
      <c r="H90">
        <v>7</v>
      </c>
      <c r="I90">
        <v>2023</v>
      </c>
      <c r="J90">
        <v>9</v>
      </c>
      <c r="K90" t="s">
        <v>39</v>
      </c>
      <c r="L90" t="s">
        <v>20</v>
      </c>
      <c r="M90" s="6">
        <v>0.188542093702006</v>
      </c>
    </row>
    <row r="91" spans="1:13" x14ac:dyDescent="0.3">
      <c r="A91">
        <v>1273</v>
      </c>
      <c r="B91" s="1">
        <v>45199</v>
      </c>
      <c r="C91" t="s">
        <v>13</v>
      </c>
      <c r="D91" t="s">
        <v>14</v>
      </c>
      <c r="E91" t="s">
        <v>19</v>
      </c>
      <c r="F91">
        <v>352.82</v>
      </c>
      <c r="G91">
        <v>-431.62</v>
      </c>
      <c r="H91">
        <v>4</v>
      </c>
      <c r="I91">
        <v>2023</v>
      </c>
      <c r="J91">
        <v>9</v>
      </c>
      <c r="K91" t="s">
        <v>39</v>
      </c>
      <c r="L91" t="s">
        <v>26</v>
      </c>
      <c r="M91" s="6">
        <v>-1.22334334788277</v>
      </c>
    </row>
    <row r="92" spans="1:13" x14ac:dyDescent="0.3">
      <c r="A92">
        <v>1275</v>
      </c>
      <c r="B92" s="1">
        <v>45201</v>
      </c>
      <c r="C92" t="s">
        <v>13</v>
      </c>
      <c r="D92" t="s">
        <v>28</v>
      </c>
      <c r="E92" t="s">
        <v>22</v>
      </c>
      <c r="F92">
        <v>316.41000000000003</v>
      </c>
      <c r="G92">
        <v>-254.06</v>
      </c>
      <c r="H92">
        <v>4</v>
      </c>
      <c r="I92">
        <v>2023</v>
      </c>
      <c r="J92">
        <v>10</v>
      </c>
      <c r="K92" t="s">
        <v>40</v>
      </c>
      <c r="L92" t="s">
        <v>17</v>
      </c>
      <c r="M92" s="6">
        <v>-0.802945545336746</v>
      </c>
    </row>
    <row r="93" spans="1:13" x14ac:dyDescent="0.3">
      <c r="A93">
        <v>1276</v>
      </c>
      <c r="B93" s="1">
        <v>45202</v>
      </c>
      <c r="C93" t="s">
        <v>13</v>
      </c>
      <c r="D93" t="s">
        <v>25</v>
      </c>
      <c r="E93" t="s">
        <v>22</v>
      </c>
      <c r="F93">
        <v>2982.49</v>
      </c>
      <c r="G93">
        <v>-37.74</v>
      </c>
      <c r="H93">
        <v>2</v>
      </c>
      <c r="I93">
        <v>2023</v>
      </c>
      <c r="J93">
        <v>10</v>
      </c>
      <c r="K93" t="s">
        <v>40</v>
      </c>
      <c r="L93" t="s">
        <v>32</v>
      </c>
      <c r="M93" s="6">
        <v>-1.26538563415133E-2</v>
      </c>
    </row>
    <row r="94" spans="1:13" x14ac:dyDescent="0.3">
      <c r="A94">
        <v>1279</v>
      </c>
      <c r="B94" s="1">
        <v>45205</v>
      </c>
      <c r="C94" t="s">
        <v>13</v>
      </c>
      <c r="D94" t="s">
        <v>18</v>
      </c>
      <c r="E94" t="s">
        <v>15</v>
      </c>
      <c r="F94">
        <v>2418.73</v>
      </c>
      <c r="G94">
        <v>-50.6</v>
      </c>
      <c r="H94">
        <v>9</v>
      </c>
      <c r="I94">
        <v>2023</v>
      </c>
      <c r="J94">
        <v>10</v>
      </c>
      <c r="K94" t="s">
        <v>40</v>
      </c>
      <c r="L94" t="s">
        <v>23</v>
      </c>
      <c r="M94" s="6">
        <v>-2.0920069623314701E-2</v>
      </c>
    </row>
    <row r="95" spans="1:13" x14ac:dyDescent="0.3">
      <c r="A95">
        <v>1280</v>
      </c>
      <c r="B95" s="1">
        <v>45206</v>
      </c>
      <c r="C95" t="s">
        <v>13</v>
      </c>
      <c r="D95" t="s">
        <v>25</v>
      </c>
      <c r="E95" t="s">
        <v>19</v>
      </c>
      <c r="F95">
        <v>1632.99</v>
      </c>
      <c r="G95">
        <v>-139.97999999999999</v>
      </c>
      <c r="H95">
        <v>4</v>
      </c>
      <c r="I95">
        <v>2023</v>
      </c>
      <c r="J95">
        <v>10</v>
      </c>
      <c r="K95" t="s">
        <v>40</v>
      </c>
      <c r="L95" t="s">
        <v>26</v>
      </c>
      <c r="M95" s="6">
        <v>-8.5720059522715997E-2</v>
      </c>
    </row>
    <row r="96" spans="1:13" x14ac:dyDescent="0.3">
      <c r="A96">
        <v>1285</v>
      </c>
      <c r="B96" s="1">
        <v>45211</v>
      </c>
      <c r="C96" t="s">
        <v>13</v>
      </c>
      <c r="D96" t="s">
        <v>21</v>
      </c>
      <c r="E96" t="s">
        <v>22</v>
      </c>
      <c r="F96">
        <v>2166.64</v>
      </c>
      <c r="G96">
        <v>294.76</v>
      </c>
      <c r="H96">
        <v>1</v>
      </c>
      <c r="I96">
        <v>2023</v>
      </c>
      <c r="J96">
        <v>10</v>
      </c>
      <c r="K96" t="s">
        <v>40</v>
      </c>
      <c r="L96" t="s">
        <v>20</v>
      </c>
      <c r="M96" s="6">
        <v>0.13604475132001601</v>
      </c>
    </row>
    <row r="97" spans="1:13" x14ac:dyDescent="0.3">
      <c r="A97">
        <v>1287</v>
      </c>
      <c r="B97" s="1">
        <v>45213</v>
      </c>
      <c r="C97" t="s">
        <v>13</v>
      </c>
      <c r="D97" t="s">
        <v>21</v>
      </c>
      <c r="E97" t="s">
        <v>22</v>
      </c>
      <c r="F97">
        <v>3750.82</v>
      </c>
      <c r="G97">
        <v>871.94</v>
      </c>
      <c r="H97">
        <v>9</v>
      </c>
      <c r="I97">
        <v>2023</v>
      </c>
      <c r="J97">
        <v>10</v>
      </c>
      <c r="K97" t="s">
        <v>40</v>
      </c>
      <c r="L97" t="s">
        <v>26</v>
      </c>
      <c r="M97" s="6">
        <v>0.23246650065852301</v>
      </c>
    </row>
    <row r="98" spans="1:13" x14ac:dyDescent="0.3">
      <c r="A98">
        <v>1292</v>
      </c>
      <c r="B98" s="1">
        <v>45218</v>
      </c>
      <c r="C98" t="s">
        <v>13</v>
      </c>
      <c r="D98" t="s">
        <v>28</v>
      </c>
      <c r="E98" t="s">
        <v>15</v>
      </c>
      <c r="F98">
        <v>3285.82</v>
      </c>
      <c r="G98">
        <v>8.4499999999999993</v>
      </c>
      <c r="H98">
        <v>2</v>
      </c>
      <c r="I98">
        <v>2023</v>
      </c>
      <c r="J98">
        <v>10</v>
      </c>
      <c r="K98" t="s">
        <v>40</v>
      </c>
      <c r="L98" t="s">
        <v>20</v>
      </c>
      <c r="M98" s="6">
        <v>2.57165639018571E-3</v>
      </c>
    </row>
    <row r="99" spans="1:13" x14ac:dyDescent="0.3">
      <c r="A99">
        <v>1294</v>
      </c>
      <c r="B99" s="1">
        <v>45220</v>
      </c>
      <c r="C99" t="s">
        <v>13</v>
      </c>
      <c r="D99" t="s">
        <v>25</v>
      </c>
      <c r="E99" t="s">
        <v>19</v>
      </c>
      <c r="F99">
        <v>2847.32</v>
      </c>
      <c r="G99">
        <v>185.31</v>
      </c>
      <c r="H99">
        <v>5</v>
      </c>
      <c r="I99">
        <v>2023</v>
      </c>
      <c r="J99">
        <v>10</v>
      </c>
      <c r="K99" t="s">
        <v>40</v>
      </c>
      <c r="L99" t="s">
        <v>26</v>
      </c>
      <c r="M99" s="6">
        <v>6.5082252785075095E-2</v>
      </c>
    </row>
    <row r="100" spans="1:13" x14ac:dyDescent="0.3">
      <c r="A100">
        <v>1295</v>
      </c>
      <c r="B100" s="1">
        <v>45221</v>
      </c>
      <c r="C100" t="s">
        <v>13</v>
      </c>
      <c r="D100" t="s">
        <v>25</v>
      </c>
      <c r="E100" t="s">
        <v>22</v>
      </c>
      <c r="F100">
        <v>2457.1999999999998</v>
      </c>
      <c r="G100">
        <v>564.49</v>
      </c>
      <c r="H100">
        <v>7</v>
      </c>
      <c r="I100">
        <v>2023</v>
      </c>
      <c r="J100">
        <v>10</v>
      </c>
      <c r="K100" t="s">
        <v>40</v>
      </c>
      <c r="L100" t="s">
        <v>27</v>
      </c>
      <c r="M100" s="6">
        <v>0.22972895979163299</v>
      </c>
    </row>
    <row r="101" spans="1:13" x14ac:dyDescent="0.3">
      <c r="A101">
        <v>1302</v>
      </c>
      <c r="B101" s="1">
        <v>45228</v>
      </c>
      <c r="C101" t="s">
        <v>13</v>
      </c>
      <c r="D101" t="s">
        <v>28</v>
      </c>
      <c r="E101" t="s">
        <v>22</v>
      </c>
      <c r="F101">
        <v>2738.17</v>
      </c>
      <c r="G101">
        <v>-123.3</v>
      </c>
      <c r="H101">
        <v>7</v>
      </c>
      <c r="I101">
        <v>2023</v>
      </c>
      <c r="J101">
        <v>10</v>
      </c>
      <c r="K101" t="s">
        <v>40</v>
      </c>
      <c r="L101" t="s">
        <v>27</v>
      </c>
      <c r="M101" s="6">
        <v>-4.50300748310003E-2</v>
      </c>
    </row>
    <row r="102" spans="1:13" x14ac:dyDescent="0.3">
      <c r="A102">
        <v>1303</v>
      </c>
      <c r="B102" s="1">
        <v>45229</v>
      </c>
      <c r="C102" t="s">
        <v>13</v>
      </c>
      <c r="D102" t="s">
        <v>18</v>
      </c>
      <c r="E102" t="s">
        <v>19</v>
      </c>
      <c r="F102">
        <v>3342.11</v>
      </c>
      <c r="G102">
        <v>961.66</v>
      </c>
      <c r="H102">
        <v>8</v>
      </c>
      <c r="I102">
        <v>2023</v>
      </c>
      <c r="J102">
        <v>10</v>
      </c>
      <c r="K102" t="s">
        <v>40</v>
      </c>
      <c r="L102" t="s">
        <v>17</v>
      </c>
      <c r="M102" s="6">
        <v>0.28774037958056398</v>
      </c>
    </row>
    <row r="103" spans="1:13" x14ac:dyDescent="0.3">
      <c r="A103">
        <v>1304</v>
      </c>
      <c r="B103" s="1">
        <v>45230</v>
      </c>
      <c r="C103" t="s">
        <v>13</v>
      </c>
      <c r="D103" t="s">
        <v>18</v>
      </c>
      <c r="E103" t="s">
        <v>15</v>
      </c>
      <c r="F103">
        <v>3715.49</v>
      </c>
      <c r="G103">
        <v>-187.67</v>
      </c>
      <c r="H103">
        <v>3</v>
      </c>
      <c r="I103">
        <v>2023</v>
      </c>
      <c r="J103">
        <v>10</v>
      </c>
      <c r="K103" t="s">
        <v>40</v>
      </c>
      <c r="L103" t="s">
        <v>32</v>
      </c>
      <c r="M103" s="6">
        <v>-5.0510161513017099E-2</v>
      </c>
    </row>
    <row r="104" spans="1:13" x14ac:dyDescent="0.3">
      <c r="A104">
        <v>1305</v>
      </c>
      <c r="B104" s="1">
        <v>45231</v>
      </c>
      <c r="C104" t="s">
        <v>13</v>
      </c>
      <c r="D104" t="s">
        <v>28</v>
      </c>
      <c r="E104" t="s">
        <v>19</v>
      </c>
      <c r="F104">
        <v>2648.82</v>
      </c>
      <c r="G104">
        <v>-30.88</v>
      </c>
      <c r="H104">
        <v>5</v>
      </c>
      <c r="I104">
        <v>2023</v>
      </c>
      <c r="J104">
        <v>11</v>
      </c>
      <c r="K104" t="s">
        <v>41</v>
      </c>
      <c r="L104" t="s">
        <v>30</v>
      </c>
      <c r="M104" s="6">
        <v>-1.16580213076011E-2</v>
      </c>
    </row>
    <row r="105" spans="1:13" x14ac:dyDescent="0.3">
      <c r="A105">
        <v>1307</v>
      </c>
      <c r="B105" s="1">
        <v>45233</v>
      </c>
      <c r="C105" t="s">
        <v>13</v>
      </c>
      <c r="D105" t="s">
        <v>14</v>
      </c>
      <c r="E105" t="s">
        <v>19</v>
      </c>
      <c r="F105">
        <v>4395.66</v>
      </c>
      <c r="G105">
        <v>10.61</v>
      </c>
      <c r="H105">
        <v>7</v>
      </c>
      <c r="I105">
        <v>2023</v>
      </c>
      <c r="J105">
        <v>11</v>
      </c>
      <c r="K105" t="s">
        <v>41</v>
      </c>
      <c r="L105" t="s">
        <v>23</v>
      </c>
      <c r="M105" s="6">
        <v>2.4137444661325E-3</v>
      </c>
    </row>
    <row r="106" spans="1:13" x14ac:dyDescent="0.3">
      <c r="A106">
        <v>1310</v>
      </c>
      <c r="B106" s="1">
        <v>45236</v>
      </c>
      <c r="C106" t="s">
        <v>13</v>
      </c>
      <c r="D106" t="s">
        <v>24</v>
      </c>
      <c r="E106" t="s">
        <v>15</v>
      </c>
      <c r="F106">
        <v>4952.67</v>
      </c>
      <c r="G106">
        <v>248.59</v>
      </c>
      <c r="H106">
        <v>8</v>
      </c>
      <c r="I106">
        <v>2023</v>
      </c>
      <c r="J106">
        <v>11</v>
      </c>
      <c r="K106" t="s">
        <v>41</v>
      </c>
      <c r="L106" t="s">
        <v>17</v>
      </c>
      <c r="M106" s="6">
        <v>5.0193128151078098E-2</v>
      </c>
    </row>
    <row r="107" spans="1:13" x14ac:dyDescent="0.3">
      <c r="A107">
        <v>1311</v>
      </c>
      <c r="B107" s="1">
        <v>45237</v>
      </c>
      <c r="C107" t="s">
        <v>13</v>
      </c>
      <c r="D107" t="s">
        <v>21</v>
      </c>
      <c r="E107" t="s">
        <v>29</v>
      </c>
      <c r="F107">
        <v>101.16</v>
      </c>
      <c r="G107">
        <v>-464.97</v>
      </c>
      <c r="H107">
        <v>9</v>
      </c>
      <c r="I107">
        <v>2023</v>
      </c>
      <c r="J107">
        <v>11</v>
      </c>
      <c r="K107" t="s">
        <v>41</v>
      </c>
      <c r="L107" t="s">
        <v>32</v>
      </c>
      <c r="M107" s="6">
        <v>-4.5963819691577701</v>
      </c>
    </row>
    <row r="108" spans="1:13" x14ac:dyDescent="0.3">
      <c r="A108">
        <v>1321</v>
      </c>
      <c r="B108" s="1">
        <v>45247</v>
      </c>
      <c r="C108" t="s">
        <v>13</v>
      </c>
      <c r="D108" t="s">
        <v>28</v>
      </c>
      <c r="E108" t="s">
        <v>29</v>
      </c>
      <c r="F108">
        <v>2945.71</v>
      </c>
      <c r="G108">
        <v>1153.68</v>
      </c>
      <c r="H108">
        <v>5</v>
      </c>
      <c r="I108">
        <v>2023</v>
      </c>
      <c r="J108">
        <v>11</v>
      </c>
      <c r="K108" t="s">
        <v>41</v>
      </c>
      <c r="L108" t="s">
        <v>23</v>
      </c>
      <c r="M108" s="6">
        <v>0.39164751452111701</v>
      </c>
    </row>
    <row r="109" spans="1:13" x14ac:dyDescent="0.3">
      <c r="A109">
        <v>1327</v>
      </c>
      <c r="B109" s="1">
        <v>45253</v>
      </c>
      <c r="C109" t="s">
        <v>13</v>
      </c>
      <c r="D109" t="s">
        <v>14</v>
      </c>
      <c r="E109" t="s">
        <v>19</v>
      </c>
      <c r="F109">
        <v>3688.13</v>
      </c>
      <c r="G109">
        <v>136.22</v>
      </c>
      <c r="H109">
        <v>3</v>
      </c>
      <c r="I109">
        <v>2023</v>
      </c>
      <c r="J109">
        <v>11</v>
      </c>
      <c r="K109" t="s">
        <v>41</v>
      </c>
      <c r="L109" t="s">
        <v>20</v>
      </c>
      <c r="M109" s="6">
        <v>3.6934706748406397E-2</v>
      </c>
    </row>
    <row r="110" spans="1:13" x14ac:dyDescent="0.3">
      <c r="A110">
        <v>1329</v>
      </c>
      <c r="B110" s="1">
        <v>45255</v>
      </c>
      <c r="C110" t="s">
        <v>13</v>
      </c>
      <c r="D110" t="s">
        <v>28</v>
      </c>
      <c r="E110" t="s">
        <v>29</v>
      </c>
      <c r="F110">
        <v>2389.8200000000002</v>
      </c>
      <c r="G110">
        <v>1486.67</v>
      </c>
      <c r="H110">
        <v>5</v>
      </c>
      <c r="I110">
        <v>2023</v>
      </c>
      <c r="J110">
        <v>11</v>
      </c>
      <c r="K110" t="s">
        <v>41</v>
      </c>
      <c r="L110" t="s">
        <v>26</v>
      </c>
      <c r="M110" s="6">
        <v>0.62208450845670404</v>
      </c>
    </row>
    <row r="111" spans="1:13" x14ac:dyDescent="0.3">
      <c r="A111">
        <v>1331</v>
      </c>
      <c r="B111" s="1">
        <v>45257</v>
      </c>
      <c r="C111" t="s">
        <v>13</v>
      </c>
      <c r="D111" t="s">
        <v>28</v>
      </c>
      <c r="E111" t="s">
        <v>22</v>
      </c>
      <c r="F111">
        <v>4278.83</v>
      </c>
      <c r="G111">
        <v>-319.04000000000002</v>
      </c>
      <c r="H111">
        <v>6</v>
      </c>
      <c r="I111">
        <v>2023</v>
      </c>
      <c r="J111">
        <v>11</v>
      </c>
      <c r="K111" t="s">
        <v>41</v>
      </c>
      <c r="L111" t="s">
        <v>17</v>
      </c>
      <c r="M111" s="6">
        <v>-7.4562438797521793E-2</v>
      </c>
    </row>
    <row r="112" spans="1:13" x14ac:dyDescent="0.3">
      <c r="A112">
        <v>1332</v>
      </c>
      <c r="B112" s="1">
        <v>45258</v>
      </c>
      <c r="C112" t="s">
        <v>13</v>
      </c>
      <c r="D112" t="s">
        <v>28</v>
      </c>
      <c r="E112" t="s">
        <v>19</v>
      </c>
      <c r="F112">
        <v>3606.21</v>
      </c>
      <c r="G112">
        <v>77.37</v>
      </c>
      <c r="H112">
        <v>8</v>
      </c>
      <c r="I112">
        <v>2023</v>
      </c>
      <c r="J112">
        <v>11</v>
      </c>
      <c r="K112" t="s">
        <v>41</v>
      </c>
      <c r="L112" t="s">
        <v>32</v>
      </c>
      <c r="M112" s="6">
        <v>2.14546573826815E-2</v>
      </c>
    </row>
    <row r="113" spans="1:13" x14ac:dyDescent="0.3">
      <c r="A113">
        <v>1333</v>
      </c>
      <c r="B113" s="1">
        <v>45259</v>
      </c>
      <c r="C113" t="s">
        <v>13</v>
      </c>
      <c r="D113" t="s">
        <v>25</v>
      </c>
      <c r="E113" t="s">
        <v>22</v>
      </c>
      <c r="F113">
        <v>2986.63</v>
      </c>
      <c r="G113">
        <v>-281.77999999999997</v>
      </c>
      <c r="H113">
        <v>6</v>
      </c>
      <c r="I113">
        <v>2023</v>
      </c>
      <c r="J113">
        <v>11</v>
      </c>
      <c r="K113" t="s">
        <v>41</v>
      </c>
      <c r="L113" t="s">
        <v>30</v>
      </c>
      <c r="M113" s="6">
        <v>-9.4347140422482795E-2</v>
      </c>
    </row>
    <row r="114" spans="1:13" x14ac:dyDescent="0.3">
      <c r="A114">
        <v>1336</v>
      </c>
      <c r="B114" s="1">
        <v>45262</v>
      </c>
      <c r="C114" t="s">
        <v>13</v>
      </c>
      <c r="D114" t="s">
        <v>18</v>
      </c>
      <c r="E114" t="s">
        <v>22</v>
      </c>
      <c r="F114">
        <v>320.99</v>
      </c>
      <c r="G114">
        <v>1351.35</v>
      </c>
      <c r="H114">
        <v>8</v>
      </c>
      <c r="I114">
        <v>2023</v>
      </c>
      <c r="J114">
        <v>12</v>
      </c>
      <c r="K114" t="s">
        <v>42</v>
      </c>
      <c r="L114" t="s">
        <v>26</v>
      </c>
      <c r="M114" s="6">
        <v>4.2099442350228999</v>
      </c>
    </row>
    <row r="115" spans="1:13" x14ac:dyDescent="0.3">
      <c r="A115">
        <v>1337</v>
      </c>
      <c r="B115" s="1">
        <v>45263</v>
      </c>
      <c r="C115" t="s">
        <v>13</v>
      </c>
      <c r="D115" t="s">
        <v>24</v>
      </c>
      <c r="E115" t="s">
        <v>19</v>
      </c>
      <c r="F115">
        <v>636.39</v>
      </c>
      <c r="G115">
        <v>376.34</v>
      </c>
      <c r="H115">
        <v>9</v>
      </c>
      <c r="I115">
        <v>2023</v>
      </c>
      <c r="J115">
        <v>12</v>
      </c>
      <c r="K115" t="s">
        <v>42</v>
      </c>
      <c r="L115" t="s">
        <v>27</v>
      </c>
      <c r="M115" s="6">
        <v>0.59136692908436606</v>
      </c>
    </row>
    <row r="116" spans="1:13" x14ac:dyDescent="0.3">
      <c r="A116">
        <v>1339</v>
      </c>
      <c r="B116" s="1">
        <v>45265</v>
      </c>
      <c r="C116" t="s">
        <v>13</v>
      </c>
      <c r="D116" t="s">
        <v>21</v>
      </c>
      <c r="E116" t="s">
        <v>15</v>
      </c>
      <c r="F116">
        <v>709.74</v>
      </c>
      <c r="G116">
        <v>1255.78</v>
      </c>
      <c r="H116">
        <v>2</v>
      </c>
      <c r="I116">
        <v>2023</v>
      </c>
      <c r="J116">
        <v>12</v>
      </c>
      <c r="K116" t="s">
        <v>42</v>
      </c>
      <c r="L116" t="s">
        <v>32</v>
      </c>
      <c r="M116" s="6">
        <v>1.76935215712796</v>
      </c>
    </row>
    <row r="117" spans="1:13" x14ac:dyDescent="0.3">
      <c r="A117">
        <v>1341</v>
      </c>
      <c r="B117" s="1">
        <v>45267</v>
      </c>
      <c r="C117" t="s">
        <v>13</v>
      </c>
      <c r="D117" t="s">
        <v>25</v>
      </c>
      <c r="E117" t="s">
        <v>29</v>
      </c>
      <c r="F117">
        <v>4010.15</v>
      </c>
      <c r="G117">
        <v>1237.8</v>
      </c>
      <c r="H117">
        <v>3</v>
      </c>
      <c r="I117">
        <v>2023</v>
      </c>
      <c r="J117">
        <v>12</v>
      </c>
      <c r="K117" t="s">
        <v>42</v>
      </c>
      <c r="L117" t="s">
        <v>20</v>
      </c>
      <c r="M117" s="6">
        <v>0.308666758101318</v>
      </c>
    </row>
    <row r="118" spans="1:13" x14ac:dyDescent="0.3">
      <c r="A118">
        <v>1344</v>
      </c>
      <c r="B118" s="1">
        <v>45270</v>
      </c>
      <c r="C118" t="s">
        <v>13</v>
      </c>
      <c r="D118" t="s">
        <v>28</v>
      </c>
      <c r="E118" t="s">
        <v>15</v>
      </c>
      <c r="F118">
        <v>4913.42</v>
      </c>
      <c r="G118">
        <v>798.15</v>
      </c>
      <c r="H118">
        <v>4</v>
      </c>
      <c r="I118">
        <v>2023</v>
      </c>
      <c r="J118">
        <v>12</v>
      </c>
      <c r="K118" t="s">
        <v>42</v>
      </c>
      <c r="L118" t="s">
        <v>27</v>
      </c>
      <c r="M118" s="6">
        <v>0.162442860573694</v>
      </c>
    </row>
    <row r="119" spans="1:13" x14ac:dyDescent="0.3">
      <c r="A119">
        <v>1345</v>
      </c>
      <c r="B119" s="1">
        <v>45271</v>
      </c>
      <c r="C119" t="s">
        <v>13</v>
      </c>
      <c r="D119" t="s">
        <v>25</v>
      </c>
      <c r="E119" t="s">
        <v>15</v>
      </c>
      <c r="F119">
        <v>4432.57</v>
      </c>
      <c r="G119">
        <v>156.76</v>
      </c>
      <c r="H119">
        <v>9</v>
      </c>
      <c r="I119">
        <v>2023</v>
      </c>
      <c r="J119">
        <v>12</v>
      </c>
      <c r="K119" t="s">
        <v>42</v>
      </c>
      <c r="L119" t="s">
        <v>17</v>
      </c>
      <c r="M119" s="6">
        <v>3.5365487741874403E-2</v>
      </c>
    </row>
    <row r="120" spans="1:13" x14ac:dyDescent="0.3">
      <c r="A120">
        <v>1346</v>
      </c>
      <c r="B120" s="1">
        <v>45272</v>
      </c>
      <c r="C120" t="s">
        <v>13</v>
      </c>
      <c r="D120" t="s">
        <v>25</v>
      </c>
      <c r="E120" t="s">
        <v>19</v>
      </c>
      <c r="F120">
        <v>3043.91</v>
      </c>
      <c r="G120">
        <v>760.42</v>
      </c>
      <c r="H120">
        <v>9</v>
      </c>
      <c r="I120">
        <v>2023</v>
      </c>
      <c r="J120">
        <v>12</v>
      </c>
      <c r="K120" t="s">
        <v>42</v>
      </c>
      <c r="L120" t="s">
        <v>32</v>
      </c>
      <c r="M120" s="6">
        <v>0.24981684741007501</v>
      </c>
    </row>
    <row r="121" spans="1:13" x14ac:dyDescent="0.3">
      <c r="A121">
        <v>1347</v>
      </c>
      <c r="B121" s="1">
        <v>45273</v>
      </c>
      <c r="C121" t="s">
        <v>13</v>
      </c>
      <c r="D121" t="s">
        <v>24</v>
      </c>
      <c r="E121" t="s">
        <v>22</v>
      </c>
      <c r="F121">
        <v>4528.25</v>
      </c>
      <c r="G121">
        <v>719.66</v>
      </c>
      <c r="H121">
        <v>9</v>
      </c>
      <c r="I121">
        <v>2023</v>
      </c>
      <c r="J121">
        <v>12</v>
      </c>
      <c r="K121" t="s">
        <v>42</v>
      </c>
      <c r="L121" t="s">
        <v>30</v>
      </c>
      <c r="M121" s="6">
        <v>0.158926737702203</v>
      </c>
    </row>
    <row r="122" spans="1:13" x14ac:dyDescent="0.3">
      <c r="A122">
        <v>1349</v>
      </c>
      <c r="B122" s="1">
        <v>45275</v>
      </c>
      <c r="C122" t="s">
        <v>13</v>
      </c>
      <c r="D122" t="s">
        <v>25</v>
      </c>
      <c r="E122" t="s">
        <v>15</v>
      </c>
      <c r="F122">
        <v>3742.43</v>
      </c>
      <c r="G122">
        <v>260.83999999999997</v>
      </c>
      <c r="H122">
        <v>2</v>
      </c>
      <c r="I122">
        <v>2023</v>
      </c>
      <c r="J122">
        <v>12</v>
      </c>
      <c r="K122" t="s">
        <v>42</v>
      </c>
      <c r="L122" t="s">
        <v>23</v>
      </c>
      <c r="M122" s="6">
        <v>6.9698030424082805E-2</v>
      </c>
    </row>
    <row r="123" spans="1:13" x14ac:dyDescent="0.3">
      <c r="A123">
        <v>1352</v>
      </c>
      <c r="B123" s="1">
        <v>45278</v>
      </c>
      <c r="C123" t="s">
        <v>13</v>
      </c>
      <c r="D123" t="s">
        <v>18</v>
      </c>
      <c r="E123" t="s">
        <v>29</v>
      </c>
      <c r="F123">
        <v>4205.3500000000004</v>
      </c>
      <c r="G123">
        <v>591.37</v>
      </c>
      <c r="H123">
        <v>8</v>
      </c>
      <c r="I123">
        <v>2023</v>
      </c>
      <c r="J123">
        <v>12</v>
      </c>
      <c r="K123" t="s">
        <v>42</v>
      </c>
      <c r="L123" t="s">
        <v>17</v>
      </c>
      <c r="M123" s="6">
        <v>0.14062325371253301</v>
      </c>
    </row>
    <row r="124" spans="1:13" x14ac:dyDescent="0.3">
      <c r="A124">
        <v>1354</v>
      </c>
      <c r="B124" s="1">
        <v>45280</v>
      </c>
      <c r="C124" t="s">
        <v>13</v>
      </c>
      <c r="D124" t="s">
        <v>21</v>
      </c>
      <c r="E124" t="s">
        <v>22</v>
      </c>
      <c r="F124">
        <v>4170.1499999999996</v>
      </c>
      <c r="G124">
        <v>-470.67</v>
      </c>
      <c r="H124">
        <v>6</v>
      </c>
      <c r="I124">
        <v>2023</v>
      </c>
      <c r="J124">
        <v>12</v>
      </c>
      <c r="K124" t="s">
        <v>42</v>
      </c>
      <c r="L124" t="s">
        <v>30</v>
      </c>
      <c r="M124" s="6">
        <v>-0.112866443653106</v>
      </c>
    </row>
    <row r="125" spans="1:13" x14ac:dyDescent="0.3">
      <c r="A125">
        <v>1355</v>
      </c>
      <c r="B125" s="1">
        <v>45281</v>
      </c>
      <c r="C125" t="s">
        <v>13</v>
      </c>
      <c r="D125" t="s">
        <v>14</v>
      </c>
      <c r="E125" t="s">
        <v>19</v>
      </c>
      <c r="F125">
        <v>689.66</v>
      </c>
      <c r="G125">
        <v>674.12</v>
      </c>
      <c r="H125">
        <v>5</v>
      </c>
      <c r="I125">
        <v>2023</v>
      </c>
      <c r="J125">
        <v>12</v>
      </c>
      <c r="K125" t="s">
        <v>42</v>
      </c>
      <c r="L125" t="s">
        <v>20</v>
      </c>
      <c r="M125" s="6">
        <v>0.97746715772989601</v>
      </c>
    </row>
    <row r="126" spans="1:13" x14ac:dyDescent="0.3">
      <c r="A126">
        <v>1357</v>
      </c>
      <c r="B126" s="1">
        <v>45283</v>
      </c>
      <c r="C126" t="s">
        <v>13</v>
      </c>
      <c r="D126" t="s">
        <v>24</v>
      </c>
      <c r="E126" t="s">
        <v>22</v>
      </c>
      <c r="F126">
        <v>1982.04</v>
      </c>
      <c r="G126">
        <v>785.15</v>
      </c>
      <c r="H126">
        <v>1</v>
      </c>
      <c r="I126">
        <v>2023</v>
      </c>
      <c r="J126">
        <v>12</v>
      </c>
      <c r="K126" t="s">
        <v>42</v>
      </c>
      <c r="L126" t="s">
        <v>26</v>
      </c>
      <c r="M126" s="6">
        <v>0.39613226776452498</v>
      </c>
    </row>
    <row r="127" spans="1:13" x14ac:dyDescent="0.3">
      <c r="A127">
        <v>1360</v>
      </c>
      <c r="B127" s="1">
        <v>45286</v>
      </c>
      <c r="C127" t="s">
        <v>13</v>
      </c>
      <c r="D127" t="s">
        <v>25</v>
      </c>
      <c r="E127" t="s">
        <v>19</v>
      </c>
      <c r="F127">
        <v>4148.41</v>
      </c>
      <c r="G127">
        <v>584.73</v>
      </c>
      <c r="H127">
        <v>7</v>
      </c>
      <c r="I127">
        <v>2023</v>
      </c>
      <c r="J127">
        <v>12</v>
      </c>
      <c r="K127" t="s">
        <v>42</v>
      </c>
      <c r="L127" t="s">
        <v>32</v>
      </c>
      <c r="M127" s="6">
        <v>0.14095279878314801</v>
      </c>
    </row>
    <row r="128" spans="1:13" x14ac:dyDescent="0.3">
      <c r="A128">
        <v>1001</v>
      </c>
      <c r="B128" s="1">
        <v>44927</v>
      </c>
      <c r="C128" t="s">
        <v>43</v>
      </c>
      <c r="D128" t="s">
        <v>28</v>
      </c>
      <c r="E128" t="s">
        <v>29</v>
      </c>
      <c r="F128">
        <v>4508.37</v>
      </c>
      <c r="G128">
        <v>1313.03</v>
      </c>
      <c r="H128">
        <v>7</v>
      </c>
      <c r="I128">
        <v>2023</v>
      </c>
      <c r="J128">
        <v>1</v>
      </c>
      <c r="K128" t="s">
        <v>16</v>
      </c>
      <c r="L128" t="s">
        <v>27</v>
      </c>
      <c r="M128" s="6">
        <v>0.29124273296113701</v>
      </c>
    </row>
    <row r="129" spans="1:13" x14ac:dyDescent="0.3">
      <c r="A129">
        <v>1003</v>
      </c>
      <c r="B129" s="1">
        <v>44929</v>
      </c>
      <c r="C129" t="s">
        <v>43</v>
      </c>
      <c r="D129" t="s">
        <v>14</v>
      </c>
      <c r="E129" t="s">
        <v>29</v>
      </c>
      <c r="F129">
        <v>2744.93</v>
      </c>
      <c r="G129">
        <v>824.22</v>
      </c>
      <c r="H129">
        <v>1</v>
      </c>
      <c r="I129">
        <v>2023</v>
      </c>
      <c r="J129">
        <v>1</v>
      </c>
      <c r="K129" t="s">
        <v>16</v>
      </c>
      <c r="L129" t="s">
        <v>32</v>
      </c>
      <c r="M129" s="6">
        <v>0.30026995223921898</v>
      </c>
    </row>
    <row r="130" spans="1:13" x14ac:dyDescent="0.3">
      <c r="A130">
        <v>1004</v>
      </c>
      <c r="B130" s="1">
        <v>44930</v>
      </c>
      <c r="C130" t="s">
        <v>43</v>
      </c>
      <c r="D130" t="s">
        <v>24</v>
      </c>
      <c r="E130" t="s">
        <v>29</v>
      </c>
      <c r="F130">
        <v>2249.85</v>
      </c>
      <c r="G130">
        <v>587.55999999999995</v>
      </c>
      <c r="H130">
        <v>8</v>
      </c>
      <c r="I130">
        <v>2023</v>
      </c>
      <c r="J130">
        <v>1</v>
      </c>
      <c r="K130" t="s">
        <v>16</v>
      </c>
      <c r="L130" t="s">
        <v>30</v>
      </c>
      <c r="M130" s="6">
        <v>0.26115518812365301</v>
      </c>
    </row>
    <row r="131" spans="1:13" x14ac:dyDescent="0.3">
      <c r="A131">
        <v>1007</v>
      </c>
      <c r="B131" s="1">
        <v>44933</v>
      </c>
      <c r="C131" t="s">
        <v>43</v>
      </c>
      <c r="D131" t="s">
        <v>14</v>
      </c>
      <c r="E131" t="s">
        <v>29</v>
      </c>
      <c r="F131">
        <v>2018.26</v>
      </c>
      <c r="G131">
        <v>542.52</v>
      </c>
      <c r="H131">
        <v>4</v>
      </c>
      <c r="I131">
        <v>2023</v>
      </c>
      <c r="J131">
        <v>1</v>
      </c>
      <c r="K131" t="s">
        <v>16</v>
      </c>
      <c r="L131" t="s">
        <v>26</v>
      </c>
      <c r="M131" s="6">
        <v>0.26880580301844198</v>
      </c>
    </row>
    <row r="132" spans="1:13" x14ac:dyDescent="0.3">
      <c r="A132">
        <v>1009</v>
      </c>
      <c r="B132" s="1">
        <v>44935</v>
      </c>
      <c r="C132" t="s">
        <v>43</v>
      </c>
      <c r="D132" t="s">
        <v>25</v>
      </c>
      <c r="E132" t="s">
        <v>19</v>
      </c>
      <c r="F132">
        <v>426.43</v>
      </c>
      <c r="G132">
        <v>-9.43</v>
      </c>
      <c r="H132">
        <v>7</v>
      </c>
      <c r="I132">
        <v>2023</v>
      </c>
      <c r="J132">
        <v>1</v>
      </c>
      <c r="K132" t="s">
        <v>16</v>
      </c>
      <c r="L132" t="s">
        <v>17</v>
      </c>
      <c r="M132" s="6">
        <v>-2.2113828764392801E-2</v>
      </c>
    </row>
    <row r="133" spans="1:13" x14ac:dyDescent="0.3">
      <c r="A133">
        <v>1010</v>
      </c>
      <c r="B133" s="1">
        <v>44936</v>
      </c>
      <c r="C133" t="s">
        <v>43</v>
      </c>
      <c r="D133" t="s">
        <v>24</v>
      </c>
      <c r="E133" t="s">
        <v>19</v>
      </c>
      <c r="F133">
        <v>1222.22</v>
      </c>
      <c r="G133">
        <v>-185.32</v>
      </c>
      <c r="H133">
        <v>6</v>
      </c>
      <c r="I133">
        <v>2023</v>
      </c>
      <c r="J133">
        <v>1</v>
      </c>
      <c r="K133" t="s">
        <v>16</v>
      </c>
      <c r="L133" t="s">
        <v>32</v>
      </c>
      <c r="M133" s="6">
        <v>-0.15162573022859999</v>
      </c>
    </row>
    <row r="134" spans="1:13" x14ac:dyDescent="0.3">
      <c r="A134">
        <v>1011</v>
      </c>
      <c r="B134" s="1">
        <v>44937</v>
      </c>
      <c r="C134" t="s">
        <v>43</v>
      </c>
      <c r="D134" t="s">
        <v>14</v>
      </c>
      <c r="E134" t="s">
        <v>22</v>
      </c>
      <c r="F134">
        <v>2759.96</v>
      </c>
      <c r="G134">
        <v>-179.2</v>
      </c>
      <c r="H134">
        <v>1</v>
      </c>
      <c r="I134">
        <v>2023</v>
      </c>
      <c r="J134">
        <v>1</v>
      </c>
      <c r="K134" t="s">
        <v>16</v>
      </c>
      <c r="L134" t="s">
        <v>30</v>
      </c>
      <c r="M134" s="6">
        <v>-6.4928477224307599E-2</v>
      </c>
    </row>
    <row r="135" spans="1:13" x14ac:dyDescent="0.3">
      <c r="A135">
        <v>1012</v>
      </c>
      <c r="B135" s="1">
        <v>44938</v>
      </c>
      <c r="C135" t="s">
        <v>43</v>
      </c>
      <c r="D135" t="s">
        <v>14</v>
      </c>
      <c r="E135" t="s">
        <v>19</v>
      </c>
      <c r="F135">
        <v>2214.4899999999998</v>
      </c>
      <c r="G135">
        <v>168.02</v>
      </c>
      <c r="H135">
        <v>8</v>
      </c>
      <c r="I135">
        <v>2023</v>
      </c>
      <c r="J135">
        <v>1</v>
      </c>
      <c r="K135" t="s">
        <v>16</v>
      </c>
      <c r="L135" t="s">
        <v>20</v>
      </c>
      <c r="M135" s="6">
        <v>7.5873000103861402E-2</v>
      </c>
    </row>
    <row r="136" spans="1:13" x14ac:dyDescent="0.3">
      <c r="A136">
        <v>1014</v>
      </c>
      <c r="B136" s="1">
        <v>44940</v>
      </c>
      <c r="C136" t="s">
        <v>43</v>
      </c>
      <c r="D136" t="s">
        <v>21</v>
      </c>
      <c r="E136" t="s">
        <v>19</v>
      </c>
      <c r="F136">
        <v>3679.69</v>
      </c>
      <c r="G136">
        <v>1360.18</v>
      </c>
      <c r="H136">
        <v>6</v>
      </c>
      <c r="I136">
        <v>2023</v>
      </c>
      <c r="J136">
        <v>1</v>
      </c>
      <c r="K136" t="s">
        <v>16</v>
      </c>
      <c r="L136" t="s">
        <v>26</v>
      </c>
      <c r="M136" s="6">
        <v>0.36964526903081502</v>
      </c>
    </row>
    <row r="137" spans="1:13" x14ac:dyDescent="0.3">
      <c r="A137">
        <v>1028</v>
      </c>
      <c r="B137" s="1">
        <v>44954</v>
      </c>
      <c r="C137" t="s">
        <v>43</v>
      </c>
      <c r="D137" t="s">
        <v>28</v>
      </c>
      <c r="E137" t="s">
        <v>29</v>
      </c>
      <c r="F137">
        <v>2520.5100000000002</v>
      </c>
      <c r="G137">
        <v>1013.27</v>
      </c>
      <c r="H137">
        <v>8</v>
      </c>
      <c r="I137">
        <v>2023</v>
      </c>
      <c r="J137">
        <v>1</v>
      </c>
      <c r="K137" t="s">
        <v>16</v>
      </c>
      <c r="L137" t="s">
        <v>26</v>
      </c>
      <c r="M137" s="6">
        <v>0.402009910692677</v>
      </c>
    </row>
    <row r="138" spans="1:13" x14ac:dyDescent="0.3">
      <c r="A138">
        <v>1029</v>
      </c>
      <c r="B138" s="1">
        <v>44955</v>
      </c>
      <c r="C138" t="s">
        <v>43</v>
      </c>
      <c r="D138" t="s">
        <v>24</v>
      </c>
      <c r="E138" t="s">
        <v>22</v>
      </c>
      <c r="F138">
        <v>3797.71</v>
      </c>
      <c r="G138">
        <v>17.38</v>
      </c>
      <c r="H138">
        <v>3</v>
      </c>
      <c r="I138">
        <v>2023</v>
      </c>
      <c r="J138">
        <v>1</v>
      </c>
      <c r="K138" t="s">
        <v>16</v>
      </c>
      <c r="L138" t="s">
        <v>27</v>
      </c>
      <c r="M138" s="6">
        <v>4.5764421190664902E-3</v>
      </c>
    </row>
    <row r="139" spans="1:13" x14ac:dyDescent="0.3">
      <c r="A139">
        <v>1030</v>
      </c>
      <c r="B139" s="1">
        <v>44956</v>
      </c>
      <c r="C139" t="s">
        <v>43</v>
      </c>
      <c r="D139" t="s">
        <v>25</v>
      </c>
      <c r="E139" t="s">
        <v>22</v>
      </c>
      <c r="F139">
        <v>604.29</v>
      </c>
      <c r="G139">
        <v>-113.73</v>
      </c>
      <c r="H139">
        <v>4</v>
      </c>
      <c r="I139">
        <v>2023</v>
      </c>
      <c r="J139">
        <v>1</v>
      </c>
      <c r="K139" t="s">
        <v>16</v>
      </c>
      <c r="L139" t="s">
        <v>17</v>
      </c>
      <c r="M139" s="6">
        <v>-0.188204338976319</v>
      </c>
    </row>
    <row r="140" spans="1:13" x14ac:dyDescent="0.3">
      <c r="A140">
        <v>1032</v>
      </c>
      <c r="B140" s="1">
        <v>44958</v>
      </c>
      <c r="C140" t="s">
        <v>43</v>
      </c>
      <c r="D140" t="s">
        <v>24</v>
      </c>
      <c r="E140" t="s">
        <v>29</v>
      </c>
      <c r="F140">
        <v>1956.23</v>
      </c>
      <c r="G140">
        <v>152.87</v>
      </c>
      <c r="H140">
        <v>9</v>
      </c>
      <c r="I140">
        <v>2023</v>
      </c>
      <c r="J140">
        <v>2</v>
      </c>
      <c r="K140" t="s">
        <v>31</v>
      </c>
      <c r="L140" t="s">
        <v>30</v>
      </c>
      <c r="M140" s="6">
        <v>7.81452078743297E-2</v>
      </c>
    </row>
    <row r="141" spans="1:13" x14ac:dyDescent="0.3">
      <c r="A141">
        <v>1035</v>
      </c>
      <c r="B141" s="1">
        <v>44961</v>
      </c>
      <c r="C141" t="s">
        <v>43</v>
      </c>
      <c r="D141" t="s">
        <v>25</v>
      </c>
      <c r="E141" t="s">
        <v>15</v>
      </c>
      <c r="F141">
        <v>2561.21</v>
      </c>
      <c r="G141">
        <v>253.39</v>
      </c>
      <c r="H141">
        <v>4</v>
      </c>
      <c r="I141">
        <v>2023</v>
      </c>
      <c r="J141">
        <v>2</v>
      </c>
      <c r="K141" t="s">
        <v>31</v>
      </c>
      <c r="L141" t="s">
        <v>26</v>
      </c>
      <c r="M141" s="6">
        <v>9.8933707114996397E-2</v>
      </c>
    </row>
    <row r="142" spans="1:13" x14ac:dyDescent="0.3">
      <c r="A142">
        <v>1037</v>
      </c>
      <c r="B142" s="1">
        <v>44963</v>
      </c>
      <c r="C142" t="s">
        <v>43</v>
      </c>
      <c r="D142" t="s">
        <v>28</v>
      </c>
      <c r="E142" t="s">
        <v>15</v>
      </c>
      <c r="F142">
        <v>2483.15</v>
      </c>
      <c r="G142">
        <v>1137.3599999999999</v>
      </c>
      <c r="H142">
        <v>7</v>
      </c>
      <c r="I142">
        <v>2023</v>
      </c>
      <c r="J142">
        <v>2</v>
      </c>
      <c r="K142" t="s">
        <v>31</v>
      </c>
      <c r="L142" t="s">
        <v>17</v>
      </c>
      <c r="M142" s="6">
        <v>0.45803112981495298</v>
      </c>
    </row>
    <row r="143" spans="1:13" x14ac:dyDescent="0.3">
      <c r="A143">
        <v>1038</v>
      </c>
      <c r="B143" s="1">
        <v>44964</v>
      </c>
      <c r="C143" t="s">
        <v>43</v>
      </c>
      <c r="D143" t="s">
        <v>14</v>
      </c>
      <c r="E143" t="s">
        <v>15</v>
      </c>
      <c r="F143">
        <v>2103.88</v>
      </c>
      <c r="G143">
        <v>-243.1</v>
      </c>
      <c r="H143">
        <v>2</v>
      </c>
      <c r="I143">
        <v>2023</v>
      </c>
      <c r="J143">
        <v>2</v>
      </c>
      <c r="K143" t="s">
        <v>31</v>
      </c>
      <c r="L143" t="s">
        <v>32</v>
      </c>
      <c r="M143" s="6">
        <v>-0.115548415308858</v>
      </c>
    </row>
    <row r="144" spans="1:13" x14ac:dyDescent="0.3">
      <c r="A144">
        <v>1040</v>
      </c>
      <c r="B144" s="1">
        <v>44966</v>
      </c>
      <c r="C144" t="s">
        <v>43</v>
      </c>
      <c r="D144" t="s">
        <v>18</v>
      </c>
      <c r="E144" t="s">
        <v>29</v>
      </c>
      <c r="F144">
        <v>159.80000000000001</v>
      </c>
      <c r="G144">
        <v>-463.14</v>
      </c>
      <c r="H144">
        <v>1</v>
      </c>
      <c r="I144">
        <v>2023</v>
      </c>
      <c r="J144">
        <v>2</v>
      </c>
      <c r="K144" t="s">
        <v>31</v>
      </c>
      <c r="L144" t="s">
        <v>20</v>
      </c>
      <c r="M144" s="6">
        <v>-2.8982478097622</v>
      </c>
    </row>
    <row r="145" spans="1:13" x14ac:dyDescent="0.3">
      <c r="A145">
        <v>1042</v>
      </c>
      <c r="B145" s="1">
        <v>44968</v>
      </c>
      <c r="C145" t="s">
        <v>43</v>
      </c>
      <c r="D145" t="s">
        <v>18</v>
      </c>
      <c r="E145" t="s">
        <v>22</v>
      </c>
      <c r="F145">
        <v>2870.99</v>
      </c>
      <c r="G145">
        <v>1180.24</v>
      </c>
      <c r="H145">
        <v>2</v>
      </c>
      <c r="I145">
        <v>2023</v>
      </c>
      <c r="J145">
        <v>2</v>
      </c>
      <c r="K145" t="s">
        <v>31</v>
      </c>
      <c r="L145" t="s">
        <v>26</v>
      </c>
      <c r="M145" s="6">
        <v>0.41109164434567902</v>
      </c>
    </row>
    <row r="146" spans="1:13" x14ac:dyDescent="0.3">
      <c r="A146">
        <v>1043</v>
      </c>
      <c r="B146" s="1">
        <v>44969</v>
      </c>
      <c r="C146" t="s">
        <v>43</v>
      </c>
      <c r="D146" t="s">
        <v>28</v>
      </c>
      <c r="E146" t="s">
        <v>15</v>
      </c>
      <c r="F146">
        <v>3609.28</v>
      </c>
      <c r="G146">
        <v>284.3</v>
      </c>
      <c r="H146">
        <v>1</v>
      </c>
      <c r="I146">
        <v>2023</v>
      </c>
      <c r="J146">
        <v>2</v>
      </c>
      <c r="K146" t="s">
        <v>31</v>
      </c>
      <c r="L146" t="s">
        <v>27</v>
      </c>
      <c r="M146" s="6">
        <v>7.8769172799006998E-2</v>
      </c>
    </row>
    <row r="147" spans="1:13" x14ac:dyDescent="0.3">
      <c r="A147">
        <v>1046</v>
      </c>
      <c r="B147" s="1">
        <v>44972</v>
      </c>
      <c r="C147" t="s">
        <v>43</v>
      </c>
      <c r="D147" t="s">
        <v>25</v>
      </c>
      <c r="E147" t="s">
        <v>22</v>
      </c>
      <c r="F147">
        <v>4799.47</v>
      </c>
      <c r="G147">
        <v>1077.6099999999999</v>
      </c>
      <c r="H147">
        <v>1</v>
      </c>
      <c r="I147">
        <v>2023</v>
      </c>
      <c r="J147">
        <v>2</v>
      </c>
      <c r="K147" t="s">
        <v>31</v>
      </c>
      <c r="L147" t="s">
        <v>30</v>
      </c>
      <c r="M147" s="6">
        <v>0.22452687484243</v>
      </c>
    </row>
    <row r="148" spans="1:13" x14ac:dyDescent="0.3">
      <c r="A148">
        <v>1056</v>
      </c>
      <c r="B148" s="1">
        <v>44982</v>
      </c>
      <c r="C148" t="s">
        <v>43</v>
      </c>
      <c r="D148" t="s">
        <v>21</v>
      </c>
      <c r="E148" t="s">
        <v>15</v>
      </c>
      <c r="F148">
        <v>3657.87</v>
      </c>
      <c r="G148">
        <v>1204.83</v>
      </c>
      <c r="H148">
        <v>7</v>
      </c>
      <c r="I148">
        <v>2023</v>
      </c>
      <c r="J148">
        <v>2</v>
      </c>
      <c r="K148" t="s">
        <v>31</v>
      </c>
      <c r="L148" t="s">
        <v>26</v>
      </c>
      <c r="M148" s="6">
        <v>0.32938021307482201</v>
      </c>
    </row>
    <row r="149" spans="1:13" x14ac:dyDescent="0.3">
      <c r="A149">
        <v>1057</v>
      </c>
      <c r="B149" s="1">
        <v>44983</v>
      </c>
      <c r="C149" t="s">
        <v>43</v>
      </c>
      <c r="D149" t="s">
        <v>14</v>
      </c>
      <c r="E149" t="s">
        <v>15</v>
      </c>
      <c r="F149">
        <v>3005.52</v>
      </c>
      <c r="G149">
        <v>1480.3</v>
      </c>
      <c r="H149">
        <v>5</v>
      </c>
      <c r="I149">
        <v>2023</v>
      </c>
      <c r="J149">
        <v>2</v>
      </c>
      <c r="K149" t="s">
        <v>31</v>
      </c>
      <c r="L149" t="s">
        <v>27</v>
      </c>
      <c r="M149" s="6">
        <v>0.49252708349969399</v>
      </c>
    </row>
    <row r="150" spans="1:13" x14ac:dyDescent="0.3">
      <c r="A150">
        <v>1059</v>
      </c>
      <c r="B150" s="1">
        <v>44985</v>
      </c>
      <c r="C150" t="s">
        <v>43</v>
      </c>
      <c r="D150" t="s">
        <v>24</v>
      </c>
      <c r="E150" t="s">
        <v>22</v>
      </c>
      <c r="F150">
        <v>4601.88</v>
      </c>
      <c r="G150">
        <v>391.92</v>
      </c>
      <c r="H150">
        <v>3</v>
      </c>
      <c r="I150">
        <v>2023</v>
      </c>
      <c r="J150">
        <v>2</v>
      </c>
      <c r="K150" t="s">
        <v>31</v>
      </c>
      <c r="L150" t="s">
        <v>32</v>
      </c>
      <c r="M150" s="6">
        <v>8.5165193355759006E-2</v>
      </c>
    </row>
    <row r="151" spans="1:13" x14ac:dyDescent="0.3">
      <c r="A151">
        <v>1060</v>
      </c>
      <c r="B151" s="1">
        <v>44986</v>
      </c>
      <c r="C151" t="s">
        <v>43</v>
      </c>
      <c r="D151" t="s">
        <v>21</v>
      </c>
      <c r="E151" t="s">
        <v>19</v>
      </c>
      <c r="F151">
        <v>3971.41</v>
      </c>
      <c r="G151">
        <v>795.15</v>
      </c>
      <c r="H151">
        <v>6</v>
      </c>
      <c r="I151">
        <v>2023</v>
      </c>
      <c r="J151">
        <v>3</v>
      </c>
      <c r="K151" t="s">
        <v>33</v>
      </c>
      <c r="L151" t="s">
        <v>30</v>
      </c>
      <c r="M151" s="6">
        <v>0.200218562173132</v>
      </c>
    </row>
    <row r="152" spans="1:13" x14ac:dyDescent="0.3">
      <c r="A152">
        <v>1071</v>
      </c>
      <c r="B152" s="1">
        <v>44997</v>
      </c>
      <c r="C152" t="s">
        <v>43</v>
      </c>
      <c r="D152" t="s">
        <v>18</v>
      </c>
      <c r="E152" t="s">
        <v>29</v>
      </c>
      <c r="F152">
        <v>1255.94</v>
      </c>
      <c r="G152">
        <v>1388.61</v>
      </c>
      <c r="H152">
        <v>8</v>
      </c>
      <c r="I152">
        <v>2023</v>
      </c>
      <c r="J152">
        <v>3</v>
      </c>
      <c r="K152" t="s">
        <v>33</v>
      </c>
      <c r="L152" t="s">
        <v>27</v>
      </c>
      <c r="M152" s="6">
        <v>1.1056340271032099</v>
      </c>
    </row>
    <row r="153" spans="1:13" x14ac:dyDescent="0.3">
      <c r="A153">
        <v>1078</v>
      </c>
      <c r="B153" s="1">
        <v>45004</v>
      </c>
      <c r="C153" t="s">
        <v>43</v>
      </c>
      <c r="D153" t="s">
        <v>25</v>
      </c>
      <c r="E153" t="s">
        <v>22</v>
      </c>
      <c r="F153">
        <v>3078.68</v>
      </c>
      <c r="G153">
        <v>1045.6500000000001</v>
      </c>
      <c r="H153">
        <v>1</v>
      </c>
      <c r="I153">
        <v>2023</v>
      </c>
      <c r="J153">
        <v>3</v>
      </c>
      <c r="K153" t="s">
        <v>33</v>
      </c>
      <c r="L153" t="s">
        <v>27</v>
      </c>
      <c r="M153" s="6">
        <v>0.33964231423857</v>
      </c>
    </row>
    <row r="154" spans="1:13" x14ac:dyDescent="0.3">
      <c r="A154">
        <v>1079</v>
      </c>
      <c r="B154" s="1">
        <v>45005</v>
      </c>
      <c r="C154" t="s">
        <v>43</v>
      </c>
      <c r="D154" t="s">
        <v>21</v>
      </c>
      <c r="E154" t="s">
        <v>29</v>
      </c>
      <c r="F154">
        <v>1958.6</v>
      </c>
      <c r="G154">
        <v>-39.89</v>
      </c>
      <c r="H154">
        <v>6</v>
      </c>
      <c r="I154">
        <v>2023</v>
      </c>
      <c r="J154">
        <v>3</v>
      </c>
      <c r="K154" t="s">
        <v>33</v>
      </c>
      <c r="L154" t="s">
        <v>17</v>
      </c>
      <c r="M154" s="6">
        <v>-2.0366588379454698E-2</v>
      </c>
    </row>
    <row r="155" spans="1:13" x14ac:dyDescent="0.3">
      <c r="A155">
        <v>1081</v>
      </c>
      <c r="B155" s="1">
        <v>45007</v>
      </c>
      <c r="C155" t="s">
        <v>43</v>
      </c>
      <c r="D155" t="s">
        <v>24</v>
      </c>
      <c r="E155" t="s">
        <v>19</v>
      </c>
      <c r="F155">
        <v>1107.3399999999999</v>
      </c>
      <c r="G155">
        <v>1236.1099999999999</v>
      </c>
      <c r="H155">
        <v>7</v>
      </c>
      <c r="I155">
        <v>2023</v>
      </c>
      <c r="J155">
        <v>3</v>
      </c>
      <c r="K155" t="s">
        <v>33</v>
      </c>
      <c r="L155" t="s">
        <v>30</v>
      </c>
      <c r="M155" s="6">
        <v>1.1162876803872299</v>
      </c>
    </row>
    <row r="156" spans="1:13" x14ac:dyDescent="0.3">
      <c r="A156">
        <v>1087</v>
      </c>
      <c r="B156" s="1">
        <v>45013</v>
      </c>
      <c r="C156" t="s">
        <v>43</v>
      </c>
      <c r="D156" t="s">
        <v>14</v>
      </c>
      <c r="E156" t="s">
        <v>22</v>
      </c>
      <c r="F156">
        <v>4622.51</v>
      </c>
      <c r="G156">
        <v>1429.04</v>
      </c>
      <c r="H156">
        <v>8</v>
      </c>
      <c r="I156">
        <v>2023</v>
      </c>
      <c r="J156">
        <v>3</v>
      </c>
      <c r="K156" t="s">
        <v>33</v>
      </c>
      <c r="L156" t="s">
        <v>32</v>
      </c>
      <c r="M156" s="6">
        <v>0.30914806025297897</v>
      </c>
    </row>
    <row r="157" spans="1:13" x14ac:dyDescent="0.3">
      <c r="A157">
        <v>1094</v>
      </c>
      <c r="B157" s="1">
        <v>45020</v>
      </c>
      <c r="C157" t="s">
        <v>43</v>
      </c>
      <c r="D157" t="s">
        <v>14</v>
      </c>
      <c r="E157" t="s">
        <v>15</v>
      </c>
      <c r="F157">
        <v>1316.31</v>
      </c>
      <c r="G157">
        <v>-99.28</v>
      </c>
      <c r="H157">
        <v>6</v>
      </c>
      <c r="I157">
        <v>2023</v>
      </c>
      <c r="J157">
        <v>4</v>
      </c>
      <c r="K157" t="s">
        <v>34</v>
      </c>
      <c r="L157" t="s">
        <v>32</v>
      </c>
      <c r="M157" s="6">
        <v>-7.5422962675965405E-2</v>
      </c>
    </row>
    <row r="158" spans="1:13" x14ac:dyDescent="0.3">
      <c r="A158">
        <v>1098</v>
      </c>
      <c r="B158" s="1">
        <v>45024</v>
      </c>
      <c r="C158" t="s">
        <v>43</v>
      </c>
      <c r="D158" t="s">
        <v>28</v>
      </c>
      <c r="E158" t="s">
        <v>15</v>
      </c>
      <c r="F158">
        <v>1626.22</v>
      </c>
      <c r="G158">
        <v>443.06</v>
      </c>
      <c r="H158">
        <v>2</v>
      </c>
      <c r="I158">
        <v>2023</v>
      </c>
      <c r="J158">
        <v>4</v>
      </c>
      <c r="K158" t="s">
        <v>34</v>
      </c>
      <c r="L158" t="s">
        <v>26</v>
      </c>
      <c r="M158" s="6">
        <v>0.27244776229538398</v>
      </c>
    </row>
    <row r="159" spans="1:13" x14ac:dyDescent="0.3">
      <c r="A159">
        <v>1101</v>
      </c>
      <c r="B159" s="1">
        <v>45027</v>
      </c>
      <c r="C159" t="s">
        <v>43</v>
      </c>
      <c r="D159" t="s">
        <v>14</v>
      </c>
      <c r="E159" t="s">
        <v>15</v>
      </c>
      <c r="F159">
        <v>1178.48</v>
      </c>
      <c r="G159">
        <v>-92.6</v>
      </c>
      <c r="H159">
        <v>3</v>
      </c>
      <c r="I159">
        <v>2023</v>
      </c>
      <c r="J159">
        <v>4</v>
      </c>
      <c r="K159" t="s">
        <v>34</v>
      </c>
      <c r="L159" t="s">
        <v>32</v>
      </c>
      <c r="M159" s="6">
        <v>-7.8575792546330903E-2</v>
      </c>
    </row>
    <row r="160" spans="1:13" x14ac:dyDescent="0.3">
      <c r="A160">
        <v>1102</v>
      </c>
      <c r="B160" s="1">
        <v>45028</v>
      </c>
      <c r="C160" t="s">
        <v>43</v>
      </c>
      <c r="D160" t="s">
        <v>14</v>
      </c>
      <c r="E160" t="s">
        <v>22</v>
      </c>
      <c r="F160">
        <v>1142.1400000000001</v>
      </c>
      <c r="G160">
        <v>-317.67</v>
      </c>
      <c r="H160">
        <v>2</v>
      </c>
      <c r="I160">
        <v>2023</v>
      </c>
      <c r="J160">
        <v>4</v>
      </c>
      <c r="K160" t="s">
        <v>34</v>
      </c>
      <c r="L160" t="s">
        <v>30</v>
      </c>
      <c r="M160" s="6">
        <v>-0.27813578020207702</v>
      </c>
    </row>
    <row r="161" spans="1:13" x14ac:dyDescent="0.3">
      <c r="A161">
        <v>1103</v>
      </c>
      <c r="B161" s="1">
        <v>45029</v>
      </c>
      <c r="C161" t="s">
        <v>43</v>
      </c>
      <c r="D161" t="s">
        <v>18</v>
      </c>
      <c r="E161" t="s">
        <v>19</v>
      </c>
      <c r="F161">
        <v>2624.35</v>
      </c>
      <c r="G161">
        <v>-192.68</v>
      </c>
      <c r="H161">
        <v>7</v>
      </c>
      <c r="I161">
        <v>2023</v>
      </c>
      <c r="J161">
        <v>4</v>
      </c>
      <c r="K161" t="s">
        <v>34</v>
      </c>
      <c r="L161" t="s">
        <v>20</v>
      </c>
      <c r="M161" s="6">
        <v>-7.3420084973422006E-2</v>
      </c>
    </row>
    <row r="162" spans="1:13" x14ac:dyDescent="0.3">
      <c r="A162">
        <v>1105</v>
      </c>
      <c r="B162" s="1">
        <v>45031</v>
      </c>
      <c r="C162" t="s">
        <v>43</v>
      </c>
      <c r="D162" t="s">
        <v>21</v>
      </c>
      <c r="E162" t="s">
        <v>19</v>
      </c>
      <c r="F162">
        <v>2349.0500000000002</v>
      </c>
      <c r="G162">
        <v>560.71</v>
      </c>
      <c r="H162">
        <v>8</v>
      </c>
      <c r="I162">
        <v>2023</v>
      </c>
      <c r="J162">
        <v>4</v>
      </c>
      <c r="K162" t="s">
        <v>34</v>
      </c>
      <c r="L162" t="s">
        <v>26</v>
      </c>
      <c r="M162" s="6">
        <v>0.23869649432749401</v>
      </c>
    </row>
    <row r="163" spans="1:13" x14ac:dyDescent="0.3">
      <c r="A163">
        <v>1106</v>
      </c>
      <c r="B163" s="1">
        <v>45032</v>
      </c>
      <c r="C163" t="s">
        <v>43</v>
      </c>
      <c r="D163" t="s">
        <v>25</v>
      </c>
      <c r="E163" t="s">
        <v>19</v>
      </c>
      <c r="F163">
        <v>2830.8</v>
      </c>
      <c r="G163">
        <v>-464.28</v>
      </c>
      <c r="H163">
        <v>6</v>
      </c>
      <c r="I163">
        <v>2023</v>
      </c>
      <c r="J163">
        <v>4</v>
      </c>
      <c r="K163" t="s">
        <v>34</v>
      </c>
      <c r="L163" t="s">
        <v>27</v>
      </c>
      <c r="M163" s="6">
        <v>-0.164010173802459</v>
      </c>
    </row>
    <row r="164" spans="1:13" x14ac:dyDescent="0.3">
      <c r="A164">
        <v>1108</v>
      </c>
      <c r="B164" s="1">
        <v>45034</v>
      </c>
      <c r="C164" t="s">
        <v>43</v>
      </c>
      <c r="D164" t="s">
        <v>28</v>
      </c>
      <c r="E164" t="s">
        <v>19</v>
      </c>
      <c r="F164">
        <v>2721.84</v>
      </c>
      <c r="G164">
        <v>88.34</v>
      </c>
      <c r="H164">
        <v>5</v>
      </c>
      <c r="I164">
        <v>2023</v>
      </c>
      <c r="J164">
        <v>4</v>
      </c>
      <c r="K164" t="s">
        <v>34</v>
      </c>
      <c r="L164" t="s">
        <v>32</v>
      </c>
      <c r="M164" s="6">
        <v>3.2455985656761603E-2</v>
      </c>
    </row>
    <row r="165" spans="1:13" x14ac:dyDescent="0.3">
      <c r="A165">
        <v>1111</v>
      </c>
      <c r="B165" s="1">
        <v>45037</v>
      </c>
      <c r="C165" t="s">
        <v>43</v>
      </c>
      <c r="D165" t="s">
        <v>28</v>
      </c>
      <c r="E165" t="s">
        <v>19</v>
      </c>
      <c r="F165">
        <v>1618.69</v>
      </c>
      <c r="G165">
        <v>-129.08000000000001</v>
      </c>
      <c r="H165">
        <v>9</v>
      </c>
      <c r="I165">
        <v>2023</v>
      </c>
      <c r="J165">
        <v>4</v>
      </c>
      <c r="K165" t="s">
        <v>34</v>
      </c>
      <c r="L165" t="s">
        <v>23</v>
      </c>
      <c r="M165" s="6">
        <v>-7.9743496284032198E-2</v>
      </c>
    </row>
    <row r="166" spans="1:13" x14ac:dyDescent="0.3">
      <c r="A166">
        <v>1114</v>
      </c>
      <c r="B166" s="1">
        <v>45040</v>
      </c>
      <c r="C166" t="s">
        <v>43</v>
      </c>
      <c r="D166" t="s">
        <v>28</v>
      </c>
      <c r="E166" t="s">
        <v>29</v>
      </c>
      <c r="F166">
        <v>4018.93</v>
      </c>
      <c r="G166">
        <v>696.65</v>
      </c>
      <c r="H166">
        <v>8</v>
      </c>
      <c r="I166">
        <v>2023</v>
      </c>
      <c r="J166">
        <v>4</v>
      </c>
      <c r="K166" t="s">
        <v>34</v>
      </c>
      <c r="L166" t="s">
        <v>17</v>
      </c>
      <c r="M166" s="6">
        <v>0.17334215823614699</v>
      </c>
    </row>
    <row r="167" spans="1:13" x14ac:dyDescent="0.3">
      <c r="A167">
        <v>1118</v>
      </c>
      <c r="B167" s="1">
        <v>45044</v>
      </c>
      <c r="C167" t="s">
        <v>43</v>
      </c>
      <c r="D167" t="s">
        <v>21</v>
      </c>
      <c r="E167" t="s">
        <v>22</v>
      </c>
      <c r="F167">
        <v>1950.86</v>
      </c>
      <c r="G167">
        <v>-48.92</v>
      </c>
      <c r="H167">
        <v>3</v>
      </c>
      <c r="I167">
        <v>2023</v>
      </c>
      <c r="J167">
        <v>4</v>
      </c>
      <c r="K167" t="s">
        <v>34</v>
      </c>
      <c r="L167" t="s">
        <v>23</v>
      </c>
      <c r="M167" s="6">
        <v>-2.50761202751607E-2</v>
      </c>
    </row>
    <row r="168" spans="1:13" x14ac:dyDescent="0.3">
      <c r="A168">
        <v>1119</v>
      </c>
      <c r="B168" s="1">
        <v>45045</v>
      </c>
      <c r="C168" t="s">
        <v>43</v>
      </c>
      <c r="D168" t="s">
        <v>21</v>
      </c>
      <c r="E168" t="s">
        <v>15</v>
      </c>
      <c r="F168">
        <v>4199.17</v>
      </c>
      <c r="G168">
        <v>-178.35</v>
      </c>
      <c r="H168">
        <v>8</v>
      </c>
      <c r="I168">
        <v>2023</v>
      </c>
      <c r="J168">
        <v>4</v>
      </c>
      <c r="K168" t="s">
        <v>34</v>
      </c>
      <c r="L168" t="s">
        <v>26</v>
      </c>
      <c r="M168" s="6">
        <v>-4.24726791246842E-2</v>
      </c>
    </row>
    <row r="169" spans="1:13" x14ac:dyDescent="0.3">
      <c r="A169">
        <v>1122</v>
      </c>
      <c r="B169" s="1">
        <v>45048</v>
      </c>
      <c r="C169" t="s">
        <v>43</v>
      </c>
      <c r="D169" t="s">
        <v>18</v>
      </c>
      <c r="E169" t="s">
        <v>29</v>
      </c>
      <c r="F169">
        <v>3598.89</v>
      </c>
      <c r="G169">
        <v>680.53</v>
      </c>
      <c r="H169">
        <v>4</v>
      </c>
      <c r="I169">
        <v>2023</v>
      </c>
      <c r="J169">
        <v>5</v>
      </c>
      <c r="K169" t="s">
        <v>35</v>
      </c>
      <c r="L169" t="s">
        <v>32</v>
      </c>
      <c r="M169" s="6">
        <v>0.189094415222471</v>
      </c>
    </row>
    <row r="170" spans="1:13" x14ac:dyDescent="0.3">
      <c r="A170">
        <v>1124</v>
      </c>
      <c r="B170" s="1">
        <v>45050</v>
      </c>
      <c r="C170" t="s">
        <v>43</v>
      </c>
      <c r="D170" t="s">
        <v>28</v>
      </c>
      <c r="E170" t="s">
        <v>19</v>
      </c>
      <c r="F170">
        <v>2718.83</v>
      </c>
      <c r="G170">
        <v>1468.7</v>
      </c>
      <c r="H170">
        <v>8</v>
      </c>
      <c r="I170">
        <v>2023</v>
      </c>
      <c r="J170">
        <v>5</v>
      </c>
      <c r="K170" t="s">
        <v>35</v>
      </c>
      <c r="L170" t="s">
        <v>20</v>
      </c>
      <c r="M170" s="6">
        <v>0.54019559884214896</v>
      </c>
    </row>
    <row r="171" spans="1:13" x14ac:dyDescent="0.3">
      <c r="A171">
        <v>1125</v>
      </c>
      <c r="B171" s="1">
        <v>45051</v>
      </c>
      <c r="C171" t="s">
        <v>43</v>
      </c>
      <c r="D171" t="s">
        <v>18</v>
      </c>
      <c r="E171" t="s">
        <v>22</v>
      </c>
      <c r="F171">
        <v>2457.33</v>
      </c>
      <c r="G171">
        <v>-200.84</v>
      </c>
      <c r="H171">
        <v>1</v>
      </c>
      <c r="I171">
        <v>2023</v>
      </c>
      <c r="J171">
        <v>5</v>
      </c>
      <c r="K171" t="s">
        <v>35</v>
      </c>
      <c r="L171" t="s">
        <v>23</v>
      </c>
      <c r="M171" s="6">
        <v>-8.1730984442464003E-2</v>
      </c>
    </row>
    <row r="172" spans="1:13" x14ac:dyDescent="0.3">
      <c r="A172">
        <v>1127</v>
      </c>
      <c r="B172" s="1">
        <v>45053</v>
      </c>
      <c r="C172" t="s">
        <v>43</v>
      </c>
      <c r="D172" t="s">
        <v>21</v>
      </c>
      <c r="E172" t="s">
        <v>22</v>
      </c>
      <c r="F172">
        <v>3850.25</v>
      </c>
      <c r="G172">
        <v>860.91</v>
      </c>
      <c r="H172">
        <v>5</v>
      </c>
      <c r="I172">
        <v>2023</v>
      </c>
      <c r="J172">
        <v>5</v>
      </c>
      <c r="K172" t="s">
        <v>35</v>
      </c>
      <c r="L172" t="s">
        <v>27</v>
      </c>
      <c r="M172" s="6">
        <v>0.223598467631972</v>
      </c>
    </row>
    <row r="173" spans="1:13" x14ac:dyDescent="0.3">
      <c r="A173">
        <v>1129</v>
      </c>
      <c r="B173" s="1">
        <v>45055</v>
      </c>
      <c r="C173" t="s">
        <v>43</v>
      </c>
      <c r="D173" t="s">
        <v>18</v>
      </c>
      <c r="E173" t="s">
        <v>22</v>
      </c>
      <c r="F173">
        <v>1738.38</v>
      </c>
      <c r="G173">
        <v>1449.4</v>
      </c>
      <c r="H173">
        <v>6</v>
      </c>
      <c r="I173">
        <v>2023</v>
      </c>
      <c r="J173">
        <v>5</v>
      </c>
      <c r="K173" t="s">
        <v>35</v>
      </c>
      <c r="L173" t="s">
        <v>32</v>
      </c>
      <c r="M173" s="6">
        <v>0.83376476949803802</v>
      </c>
    </row>
    <row r="174" spans="1:13" x14ac:dyDescent="0.3">
      <c r="A174">
        <v>1131</v>
      </c>
      <c r="B174" s="1">
        <v>45057</v>
      </c>
      <c r="C174" t="s">
        <v>43</v>
      </c>
      <c r="D174" t="s">
        <v>25</v>
      </c>
      <c r="E174" t="s">
        <v>29</v>
      </c>
      <c r="F174">
        <v>3790.91</v>
      </c>
      <c r="G174">
        <v>813.97</v>
      </c>
      <c r="H174">
        <v>2</v>
      </c>
      <c r="I174">
        <v>2023</v>
      </c>
      <c r="J174">
        <v>5</v>
      </c>
      <c r="K174" t="s">
        <v>35</v>
      </c>
      <c r="L174" t="s">
        <v>20</v>
      </c>
      <c r="M174" s="6">
        <v>0.214716255463728</v>
      </c>
    </row>
    <row r="175" spans="1:13" x14ac:dyDescent="0.3">
      <c r="A175">
        <v>1135</v>
      </c>
      <c r="B175" s="1">
        <v>45061</v>
      </c>
      <c r="C175" t="s">
        <v>43</v>
      </c>
      <c r="D175" t="s">
        <v>14</v>
      </c>
      <c r="E175" t="s">
        <v>22</v>
      </c>
      <c r="F175">
        <v>4023.67</v>
      </c>
      <c r="G175">
        <v>948.57</v>
      </c>
      <c r="H175">
        <v>5</v>
      </c>
      <c r="I175">
        <v>2023</v>
      </c>
      <c r="J175">
        <v>5</v>
      </c>
      <c r="K175" t="s">
        <v>35</v>
      </c>
      <c r="L175" t="s">
        <v>17</v>
      </c>
      <c r="M175" s="6">
        <v>0.23574746437953401</v>
      </c>
    </row>
    <row r="176" spans="1:13" x14ac:dyDescent="0.3">
      <c r="A176">
        <v>1136</v>
      </c>
      <c r="B176" s="1">
        <v>45062</v>
      </c>
      <c r="C176" t="s">
        <v>43</v>
      </c>
      <c r="D176" t="s">
        <v>25</v>
      </c>
      <c r="E176" t="s">
        <v>22</v>
      </c>
      <c r="F176">
        <v>4896.76</v>
      </c>
      <c r="G176">
        <v>998.32</v>
      </c>
      <c r="H176">
        <v>6</v>
      </c>
      <c r="I176">
        <v>2023</v>
      </c>
      <c r="J176">
        <v>5</v>
      </c>
      <c r="K176" t="s">
        <v>35</v>
      </c>
      <c r="L176" t="s">
        <v>32</v>
      </c>
      <c r="M176" s="6">
        <v>0.20387358171525699</v>
      </c>
    </row>
    <row r="177" spans="1:13" x14ac:dyDescent="0.3">
      <c r="A177">
        <v>1138</v>
      </c>
      <c r="B177" s="1">
        <v>45064</v>
      </c>
      <c r="C177" t="s">
        <v>43</v>
      </c>
      <c r="D177" t="s">
        <v>14</v>
      </c>
      <c r="E177" t="s">
        <v>22</v>
      </c>
      <c r="F177">
        <v>4348.2700000000004</v>
      </c>
      <c r="G177">
        <v>-294.42</v>
      </c>
      <c r="H177">
        <v>2</v>
      </c>
      <c r="I177">
        <v>2023</v>
      </c>
      <c r="J177">
        <v>5</v>
      </c>
      <c r="K177" t="s">
        <v>35</v>
      </c>
      <c r="L177" t="s">
        <v>20</v>
      </c>
      <c r="M177" s="6">
        <v>-6.7709686840973504E-2</v>
      </c>
    </row>
    <row r="178" spans="1:13" x14ac:dyDescent="0.3">
      <c r="A178">
        <v>1139</v>
      </c>
      <c r="B178" s="1">
        <v>45065</v>
      </c>
      <c r="C178" t="s">
        <v>43</v>
      </c>
      <c r="D178" t="s">
        <v>18</v>
      </c>
      <c r="E178" t="s">
        <v>22</v>
      </c>
      <c r="F178">
        <v>2099.12</v>
      </c>
      <c r="G178">
        <v>641.80999999999995</v>
      </c>
      <c r="H178">
        <v>4</v>
      </c>
      <c r="I178">
        <v>2023</v>
      </c>
      <c r="J178">
        <v>5</v>
      </c>
      <c r="K178" t="s">
        <v>35</v>
      </c>
      <c r="L178" t="s">
        <v>23</v>
      </c>
      <c r="M178" s="6">
        <v>0.305751934143832</v>
      </c>
    </row>
    <row r="179" spans="1:13" x14ac:dyDescent="0.3">
      <c r="A179">
        <v>1141</v>
      </c>
      <c r="B179" s="1">
        <v>45067</v>
      </c>
      <c r="C179" t="s">
        <v>43</v>
      </c>
      <c r="D179" t="s">
        <v>14</v>
      </c>
      <c r="E179" t="s">
        <v>15</v>
      </c>
      <c r="F179">
        <v>1344.05</v>
      </c>
      <c r="G179">
        <v>464.71</v>
      </c>
      <c r="H179">
        <v>7</v>
      </c>
      <c r="I179">
        <v>2023</v>
      </c>
      <c r="J179">
        <v>5</v>
      </c>
      <c r="K179" t="s">
        <v>35</v>
      </c>
      <c r="L179" t="s">
        <v>27</v>
      </c>
      <c r="M179" s="6">
        <v>0.345753506193966</v>
      </c>
    </row>
    <row r="180" spans="1:13" x14ac:dyDescent="0.3">
      <c r="A180">
        <v>1142</v>
      </c>
      <c r="B180" s="1">
        <v>45068</v>
      </c>
      <c r="C180" t="s">
        <v>43</v>
      </c>
      <c r="D180" t="s">
        <v>25</v>
      </c>
      <c r="E180" t="s">
        <v>29</v>
      </c>
      <c r="F180">
        <v>1060.95</v>
      </c>
      <c r="G180">
        <v>-79.3</v>
      </c>
      <c r="H180">
        <v>2</v>
      </c>
      <c r="I180">
        <v>2023</v>
      </c>
      <c r="J180">
        <v>5</v>
      </c>
      <c r="K180" t="s">
        <v>35</v>
      </c>
      <c r="L180" t="s">
        <v>17</v>
      </c>
      <c r="M180" s="6">
        <v>-7.4744332909185196E-2</v>
      </c>
    </row>
    <row r="181" spans="1:13" x14ac:dyDescent="0.3">
      <c r="A181">
        <v>1146</v>
      </c>
      <c r="B181" s="1">
        <v>45072</v>
      </c>
      <c r="C181" t="s">
        <v>43</v>
      </c>
      <c r="D181" t="s">
        <v>24</v>
      </c>
      <c r="E181" t="s">
        <v>29</v>
      </c>
      <c r="F181">
        <v>2890.27</v>
      </c>
      <c r="G181">
        <v>-355.17</v>
      </c>
      <c r="H181">
        <v>2</v>
      </c>
      <c r="I181">
        <v>2023</v>
      </c>
      <c r="J181">
        <v>5</v>
      </c>
      <c r="K181" t="s">
        <v>35</v>
      </c>
      <c r="L181" t="s">
        <v>23</v>
      </c>
      <c r="M181" s="6">
        <v>-0.12288471319288501</v>
      </c>
    </row>
    <row r="182" spans="1:13" x14ac:dyDescent="0.3">
      <c r="A182">
        <v>1147</v>
      </c>
      <c r="B182" s="1">
        <v>45073</v>
      </c>
      <c r="C182" t="s">
        <v>43</v>
      </c>
      <c r="D182" t="s">
        <v>14</v>
      </c>
      <c r="E182" t="s">
        <v>22</v>
      </c>
      <c r="F182">
        <v>4448.5600000000004</v>
      </c>
      <c r="G182">
        <v>568.48</v>
      </c>
      <c r="H182">
        <v>9</v>
      </c>
      <c r="I182">
        <v>2023</v>
      </c>
      <c r="J182">
        <v>5</v>
      </c>
      <c r="K182" t="s">
        <v>35</v>
      </c>
      <c r="L182" t="s">
        <v>26</v>
      </c>
      <c r="M182" s="6">
        <v>0.12778966676857201</v>
      </c>
    </row>
    <row r="183" spans="1:13" x14ac:dyDescent="0.3">
      <c r="A183">
        <v>1148</v>
      </c>
      <c r="B183" s="1">
        <v>45074</v>
      </c>
      <c r="C183" t="s">
        <v>43</v>
      </c>
      <c r="D183" t="s">
        <v>18</v>
      </c>
      <c r="E183" t="s">
        <v>15</v>
      </c>
      <c r="F183">
        <v>2827.94</v>
      </c>
      <c r="G183">
        <v>1265.07</v>
      </c>
      <c r="H183">
        <v>9</v>
      </c>
      <c r="I183">
        <v>2023</v>
      </c>
      <c r="J183">
        <v>5</v>
      </c>
      <c r="K183" t="s">
        <v>35</v>
      </c>
      <c r="L183" t="s">
        <v>27</v>
      </c>
      <c r="M183" s="6">
        <v>0.44734683196956099</v>
      </c>
    </row>
    <row r="184" spans="1:13" x14ac:dyDescent="0.3">
      <c r="A184">
        <v>1153</v>
      </c>
      <c r="B184" s="1">
        <v>45079</v>
      </c>
      <c r="C184" t="s">
        <v>43</v>
      </c>
      <c r="D184" t="s">
        <v>14</v>
      </c>
      <c r="E184" t="s">
        <v>19</v>
      </c>
      <c r="F184">
        <v>4053.57</v>
      </c>
      <c r="G184">
        <v>1454.93</v>
      </c>
      <c r="H184">
        <v>4</v>
      </c>
      <c r="I184">
        <v>2023</v>
      </c>
      <c r="J184">
        <v>6</v>
      </c>
      <c r="K184" t="s">
        <v>36</v>
      </c>
      <c r="L184" t="s">
        <v>23</v>
      </c>
      <c r="M184" s="6">
        <v>0.358925589048666</v>
      </c>
    </row>
    <row r="185" spans="1:13" x14ac:dyDescent="0.3">
      <c r="A185">
        <v>1154</v>
      </c>
      <c r="B185" s="1">
        <v>45080</v>
      </c>
      <c r="C185" t="s">
        <v>43</v>
      </c>
      <c r="D185" t="s">
        <v>25</v>
      </c>
      <c r="E185" t="s">
        <v>29</v>
      </c>
      <c r="F185">
        <v>4816.9799999999996</v>
      </c>
      <c r="G185">
        <v>-98.28</v>
      </c>
      <c r="H185">
        <v>2</v>
      </c>
      <c r="I185">
        <v>2023</v>
      </c>
      <c r="J185">
        <v>6</v>
      </c>
      <c r="K185" t="s">
        <v>36</v>
      </c>
      <c r="L185" t="s">
        <v>26</v>
      </c>
      <c r="M185" s="6">
        <v>-2.04028250065394E-2</v>
      </c>
    </row>
    <row r="186" spans="1:13" x14ac:dyDescent="0.3">
      <c r="A186">
        <v>1156</v>
      </c>
      <c r="B186" s="1">
        <v>45082</v>
      </c>
      <c r="C186" t="s">
        <v>43</v>
      </c>
      <c r="D186" t="s">
        <v>25</v>
      </c>
      <c r="E186" t="s">
        <v>22</v>
      </c>
      <c r="F186">
        <v>791.3</v>
      </c>
      <c r="G186">
        <v>1142.8800000000001</v>
      </c>
      <c r="H186">
        <v>6</v>
      </c>
      <c r="I186">
        <v>2023</v>
      </c>
      <c r="J186">
        <v>6</v>
      </c>
      <c r="K186" t="s">
        <v>36</v>
      </c>
      <c r="L186" t="s">
        <v>17</v>
      </c>
      <c r="M186" s="6">
        <v>1.4443068368507499</v>
      </c>
    </row>
    <row r="187" spans="1:13" x14ac:dyDescent="0.3">
      <c r="A187">
        <v>1157</v>
      </c>
      <c r="B187" s="1">
        <v>45083</v>
      </c>
      <c r="C187" t="s">
        <v>43</v>
      </c>
      <c r="D187" t="s">
        <v>28</v>
      </c>
      <c r="E187" t="s">
        <v>19</v>
      </c>
      <c r="F187">
        <v>2091.3200000000002</v>
      </c>
      <c r="G187">
        <v>-417.63</v>
      </c>
      <c r="H187">
        <v>3</v>
      </c>
      <c r="I187">
        <v>2023</v>
      </c>
      <c r="J187">
        <v>6</v>
      </c>
      <c r="K187" t="s">
        <v>36</v>
      </c>
      <c r="L187" t="s">
        <v>32</v>
      </c>
      <c r="M187" s="6">
        <v>-0.199696842185796</v>
      </c>
    </row>
    <row r="188" spans="1:13" x14ac:dyDescent="0.3">
      <c r="A188">
        <v>1160</v>
      </c>
      <c r="B188" s="1">
        <v>45086</v>
      </c>
      <c r="C188" t="s">
        <v>43</v>
      </c>
      <c r="D188" t="s">
        <v>25</v>
      </c>
      <c r="E188" t="s">
        <v>29</v>
      </c>
      <c r="F188">
        <v>3202.88</v>
      </c>
      <c r="G188">
        <v>-251.56</v>
      </c>
      <c r="H188">
        <v>5</v>
      </c>
      <c r="I188">
        <v>2023</v>
      </c>
      <c r="J188">
        <v>6</v>
      </c>
      <c r="K188" t="s">
        <v>36</v>
      </c>
      <c r="L188" t="s">
        <v>23</v>
      </c>
      <c r="M188" s="6">
        <v>-7.8541812368867994E-2</v>
      </c>
    </row>
    <row r="189" spans="1:13" x14ac:dyDescent="0.3">
      <c r="A189">
        <v>1161</v>
      </c>
      <c r="B189" s="1">
        <v>45087</v>
      </c>
      <c r="C189" t="s">
        <v>43</v>
      </c>
      <c r="D189" t="s">
        <v>21</v>
      </c>
      <c r="E189" t="s">
        <v>15</v>
      </c>
      <c r="F189">
        <v>3705.93</v>
      </c>
      <c r="G189">
        <v>1292.44</v>
      </c>
      <c r="H189">
        <v>4</v>
      </c>
      <c r="I189">
        <v>2023</v>
      </c>
      <c r="J189">
        <v>6</v>
      </c>
      <c r="K189" t="s">
        <v>36</v>
      </c>
      <c r="L189" t="s">
        <v>26</v>
      </c>
      <c r="M189" s="6">
        <v>0.34874916687579099</v>
      </c>
    </row>
    <row r="190" spans="1:13" x14ac:dyDescent="0.3">
      <c r="A190">
        <v>1162</v>
      </c>
      <c r="B190" s="1">
        <v>45088</v>
      </c>
      <c r="C190" t="s">
        <v>43</v>
      </c>
      <c r="D190" t="s">
        <v>28</v>
      </c>
      <c r="E190" t="s">
        <v>29</v>
      </c>
      <c r="F190">
        <v>4255.83</v>
      </c>
      <c r="G190">
        <v>689.55</v>
      </c>
      <c r="H190">
        <v>1</v>
      </c>
      <c r="I190">
        <v>2023</v>
      </c>
      <c r="J190">
        <v>6</v>
      </c>
      <c r="K190" t="s">
        <v>36</v>
      </c>
      <c r="L190" t="s">
        <v>27</v>
      </c>
      <c r="M190" s="6">
        <v>0.16202479892288901</v>
      </c>
    </row>
    <row r="191" spans="1:13" x14ac:dyDescent="0.3">
      <c r="A191">
        <v>1173</v>
      </c>
      <c r="B191" s="1">
        <v>45099</v>
      </c>
      <c r="C191" t="s">
        <v>43</v>
      </c>
      <c r="D191" t="s">
        <v>25</v>
      </c>
      <c r="E191" t="s">
        <v>22</v>
      </c>
      <c r="F191">
        <v>4170.21</v>
      </c>
      <c r="G191">
        <v>606</v>
      </c>
      <c r="H191">
        <v>3</v>
      </c>
      <c r="I191">
        <v>2023</v>
      </c>
      <c r="J191">
        <v>6</v>
      </c>
      <c r="K191" t="s">
        <v>36</v>
      </c>
      <c r="L191" t="s">
        <v>20</v>
      </c>
      <c r="M191" s="6">
        <v>0.145316422913954</v>
      </c>
    </row>
    <row r="192" spans="1:13" x14ac:dyDescent="0.3">
      <c r="A192">
        <v>1175</v>
      </c>
      <c r="B192" s="1">
        <v>45101</v>
      </c>
      <c r="C192" t="s">
        <v>43</v>
      </c>
      <c r="D192" t="s">
        <v>21</v>
      </c>
      <c r="E192" t="s">
        <v>22</v>
      </c>
      <c r="F192">
        <v>3891.79</v>
      </c>
      <c r="G192">
        <v>1067.67</v>
      </c>
      <c r="H192">
        <v>2</v>
      </c>
      <c r="I192">
        <v>2023</v>
      </c>
      <c r="J192">
        <v>6</v>
      </c>
      <c r="K192" t="s">
        <v>36</v>
      </c>
      <c r="L192" t="s">
        <v>26</v>
      </c>
      <c r="M192" s="6">
        <v>0.27433905734893199</v>
      </c>
    </row>
    <row r="193" spans="1:13" x14ac:dyDescent="0.3">
      <c r="A193">
        <v>1177</v>
      </c>
      <c r="B193" s="1">
        <v>45103</v>
      </c>
      <c r="C193" t="s">
        <v>43</v>
      </c>
      <c r="D193" t="s">
        <v>21</v>
      </c>
      <c r="E193" t="s">
        <v>22</v>
      </c>
      <c r="F193">
        <v>4319.2299999999996</v>
      </c>
      <c r="G193">
        <v>-418.49</v>
      </c>
      <c r="H193">
        <v>2</v>
      </c>
      <c r="I193">
        <v>2023</v>
      </c>
      <c r="J193">
        <v>6</v>
      </c>
      <c r="K193" t="s">
        <v>36</v>
      </c>
      <c r="L193" t="s">
        <v>17</v>
      </c>
      <c r="M193" s="6">
        <v>-9.6889954922520893E-2</v>
      </c>
    </row>
    <row r="194" spans="1:13" x14ac:dyDescent="0.3">
      <c r="A194">
        <v>1182</v>
      </c>
      <c r="B194" s="1">
        <v>45108</v>
      </c>
      <c r="C194" t="s">
        <v>43</v>
      </c>
      <c r="D194" t="s">
        <v>21</v>
      </c>
      <c r="E194" t="s">
        <v>15</v>
      </c>
      <c r="F194">
        <v>2872.31</v>
      </c>
      <c r="G194">
        <v>800.59</v>
      </c>
      <c r="H194">
        <v>9</v>
      </c>
      <c r="I194">
        <v>2023</v>
      </c>
      <c r="J194">
        <v>7</v>
      </c>
      <c r="K194" t="s">
        <v>37</v>
      </c>
      <c r="L194" t="s">
        <v>26</v>
      </c>
      <c r="M194" s="6">
        <v>0.27872687836619298</v>
      </c>
    </row>
    <row r="195" spans="1:13" x14ac:dyDescent="0.3">
      <c r="A195">
        <v>1187</v>
      </c>
      <c r="B195" s="1">
        <v>45113</v>
      </c>
      <c r="C195" t="s">
        <v>43</v>
      </c>
      <c r="D195" t="s">
        <v>25</v>
      </c>
      <c r="E195" t="s">
        <v>15</v>
      </c>
      <c r="F195">
        <v>2611.04</v>
      </c>
      <c r="G195">
        <v>988.56</v>
      </c>
      <c r="H195">
        <v>6</v>
      </c>
      <c r="I195">
        <v>2023</v>
      </c>
      <c r="J195">
        <v>7</v>
      </c>
      <c r="K195" t="s">
        <v>37</v>
      </c>
      <c r="L195" t="s">
        <v>20</v>
      </c>
      <c r="M195" s="6">
        <v>0.37860775782829797</v>
      </c>
    </row>
    <row r="196" spans="1:13" x14ac:dyDescent="0.3">
      <c r="A196">
        <v>1188</v>
      </c>
      <c r="B196" s="1">
        <v>45114</v>
      </c>
      <c r="C196" t="s">
        <v>43</v>
      </c>
      <c r="D196" t="s">
        <v>18</v>
      </c>
      <c r="E196" t="s">
        <v>15</v>
      </c>
      <c r="F196">
        <v>3734.27</v>
      </c>
      <c r="G196">
        <v>1243.67</v>
      </c>
      <c r="H196">
        <v>4</v>
      </c>
      <c r="I196">
        <v>2023</v>
      </c>
      <c r="J196">
        <v>7</v>
      </c>
      <c r="K196" t="s">
        <v>37</v>
      </c>
      <c r="L196" t="s">
        <v>23</v>
      </c>
      <c r="M196" s="6">
        <v>0.333042334914187</v>
      </c>
    </row>
    <row r="197" spans="1:13" x14ac:dyDescent="0.3">
      <c r="A197">
        <v>1190</v>
      </c>
      <c r="B197" s="1">
        <v>45116</v>
      </c>
      <c r="C197" t="s">
        <v>43</v>
      </c>
      <c r="D197" t="s">
        <v>21</v>
      </c>
      <c r="E197" t="s">
        <v>29</v>
      </c>
      <c r="F197">
        <v>2072.5</v>
      </c>
      <c r="G197">
        <v>-412.68</v>
      </c>
      <c r="H197">
        <v>3</v>
      </c>
      <c r="I197">
        <v>2023</v>
      </c>
      <c r="J197">
        <v>7</v>
      </c>
      <c r="K197" t="s">
        <v>37</v>
      </c>
      <c r="L197" t="s">
        <v>27</v>
      </c>
      <c r="M197" s="6">
        <v>-0.19912183353437901</v>
      </c>
    </row>
    <row r="198" spans="1:13" x14ac:dyDescent="0.3">
      <c r="A198">
        <v>1195</v>
      </c>
      <c r="B198" s="1">
        <v>45121</v>
      </c>
      <c r="C198" t="s">
        <v>43</v>
      </c>
      <c r="D198" t="s">
        <v>18</v>
      </c>
      <c r="E198" t="s">
        <v>15</v>
      </c>
      <c r="F198">
        <v>4512.8</v>
      </c>
      <c r="G198">
        <v>584.96</v>
      </c>
      <c r="H198">
        <v>2</v>
      </c>
      <c r="I198">
        <v>2023</v>
      </c>
      <c r="J198">
        <v>7</v>
      </c>
      <c r="K198" t="s">
        <v>37</v>
      </c>
      <c r="L198" t="s">
        <v>23</v>
      </c>
      <c r="M198" s="6">
        <v>0.129622407374579</v>
      </c>
    </row>
    <row r="199" spans="1:13" x14ac:dyDescent="0.3">
      <c r="A199">
        <v>1197</v>
      </c>
      <c r="B199" s="1">
        <v>45123</v>
      </c>
      <c r="C199" t="s">
        <v>43</v>
      </c>
      <c r="D199" t="s">
        <v>21</v>
      </c>
      <c r="E199" t="s">
        <v>19</v>
      </c>
      <c r="F199">
        <v>3447.6</v>
      </c>
      <c r="G199">
        <v>-336.95</v>
      </c>
      <c r="H199">
        <v>5</v>
      </c>
      <c r="I199">
        <v>2023</v>
      </c>
      <c r="J199">
        <v>7</v>
      </c>
      <c r="K199" t="s">
        <v>37</v>
      </c>
      <c r="L199" t="s">
        <v>27</v>
      </c>
      <c r="M199" s="6">
        <v>-9.7734655992574596E-2</v>
      </c>
    </row>
    <row r="200" spans="1:13" x14ac:dyDescent="0.3">
      <c r="A200">
        <v>1198</v>
      </c>
      <c r="B200" s="1">
        <v>45124</v>
      </c>
      <c r="C200" t="s">
        <v>43</v>
      </c>
      <c r="D200" t="s">
        <v>28</v>
      </c>
      <c r="E200" t="s">
        <v>29</v>
      </c>
      <c r="F200">
        <v>4130.66</v>
      </c>
      <c r="G200">
        <v>306.52</v>
      </c>
      <c r="H200">
        <v>2</v>
      </c>
      <c r="I200">
        <v>2023</v>
      </c>
      <c r="J200">
        <v>7</v>
      </c>
      <c r="K200" t="s">
        <v>37</v>
      </c>
      <c r="L200" t="s">
        <v>17</v>
      </c>
      <c r="M200" s="6">
        <v>7.4206059080147005E-2</v>
      </c>
    </row>
    <row r="201" spans="1:13" x14ac:dyDescent="0.3">
      <c r="A201">
        <v>1206</v>
      </c>
      <c r="B201" s="1">
        <v>45132</v>
      </c>
      <c r="C201" t="s">
        <v>43</v>
      </c>
      <c r="D201" t="s">
        <v>28</v>
      </c>
      <c r="E201" t="s">
        <v>15</v>
      </c>
      <c r="F201">
        <v>622.24</v>
      </c>
      <c r="G201">
        <v>1192.49</v>
      </c>
      <c r="H201">
        <v>7</v>
      </c>
      <c r="I201">
        <v>2023</v>
      </c>
      <c r="J201">
        <v>7</v>
      </c>
      <c r="K201" t="s">
        <v>37</v>
      </c>
      <c r="L201" t="s">
        <v>32</v>
      </c>
      <c r="M201" s="6">
        <v>1.91644703008485</v>
      </c>
    </row>
    <row r="202" spans="1:13" x14ac:dyDescent="0.3">
      <c r="A202">
        <v>1208</v>
      </c>
      <c r="B202" s="1">
        <v>45134</v>
      </c>
      <c r="C202" t="s">
        <v>43</v>
      </c>
      <c r="D202" t="s">
        <v>28</v>
      </c>
      <c r="E202" t="s">
        <v>22</v>
      </c>
      <c r="F202">
        <v>1392.05</v>
      </c>
      <c r="G202">
        <v>970.7</v>
      </c>
      <c r="H202">
        <v>3</v>
      </c>
      <c r="I202">
        <v>2023</v>
      </c>
      <c r="J202">
        <v>7</v>
      </c>
      <c r="K202" t="s">
        <v>37</v>
      </c>
      <c r="L202" t="s">
        <v>20</v>
      </c>
      <c r="M202" s="6">
        <v>0.697316906720305</v>
      </c>
    </row>
    <row r="203" spans="1:13" x14ac:dyDescent="0.3">
      <c r="A203">
        <v>1213</v>
      </c>
      <c r="B203" s="1">
        <v>45139</v>
      </c>
      <c r="C203" t="s">
        <v>43</v>
      </c>
      <c r="D203" t="s">
        <v>21</v>
      </c>
      <c r="E203" t="s">
        <v>29</v>
      </c>
      <c r="F203">
        <v>2521.94</v>
      </c>
      <c r="G203">
        <v>676.12</v>
      </c>
      <c r="H203">
        <v>2</v>
      </c>
      <c r="I203">
        <v>2023</v>
      </c>
      <c r="J203">
        <v>8</v>
      </c>
      <c r="K203" t="s">
        <v>38</v>
      </c>
      <c r="L203" t="s">
        <v>32</v>
      </c>
      <c r="M203" s="6">
        <v>0.268095196555033</v>
      </c>
    </row>
    <row r="204" spans="1:13" x14ac:dyDescent="0.3">
      <c r="A204">
        <v>1218</v>
      </c>
      <c r="B204" s="1">
        <v>45144</v>
      </c>
      <c r="C204" t="s">
        <v>43</v>
      </c>
      <c r="D204" t="s">
        <v>24</v>
      </c>
      <c r="E204" t="s">
        <v>15</v>
      </c>
      <c r="F204">
        <v>2167.98</v>
      </c>
      <c r="G204">
        <v>1085.9100000000001</v>
      </c>
      <c r="H204">
        <v>3</v>
      </c>
      <c r="I204">
        <v>2023</v>
      </c>
      <c r="J204">
        <v>8</v>
      </c>
      <c r="K204" t="s">
        <v>38</v>
      </c>
      <c r="L204" t="s">
        <v>27</v>
      </c>
      <c r="M204" s="6">
        <v>0.500885617025987</v>
      </c>
    </row>
    <row r="205" spans="1:13" x14ac:dyDescent="0.3">
      <c r="A205">
        <v>1222</v>
      </c>
      <c r="B205" s="1">
        <v>45148</v>
      </c>
      <c r="C205" t="s">
        <v>43</v>
      </c>
      <c r="D205" t="s">
        <v>25</v>
      </c>
      <c r="E205" t="s">
        <v>15</v>
      </c>
      <c r="F205">
        <v>542.65</v>
      </c>
      <c r="G205">
        <v>218.3</v>
      </c>
      <c r="H205">
        <v>9</v>
      </c>
      <c r="I205">
        <v>2023</v>
      </c>
      <c r="J205">
        <v>8</v>
      </c>
      <c r="K205" t="s">
        <v>38</v>
      </c>
      <c r="L205" t="s">
        <v>20</v>
      </c>
      <c r="M205" s="6">
        <v>0.40228508246567801</v>
      </c>
    </row>
    <row r="206" spans="1:13" x14ac:dyDescent="0.3">
      <c r="A206">
        <v>1228</v>
      </c>
      <c r="B206" s="1">
        <v>45154</v>
      </c>
      <c r="C206" t="s">
        <v>43</v>
      </c>
      <c r="D206" t="s">
        <v>14</v>
      </c>
      <c r="E206" t="s">
        <v>19</v>
      </c>
      <c r="F206">
        <v>3635.51</v>
      </c>
      <c r="G206">
        <v>310.62</v>
      </c>
      <c r="H206">
        <v>7</v>
      </c>
      <c r="I206">
        <v>2023</v>
      </c>
      <c r="J206">
        <v>8</v>
      </c>
      <c r="K206" t="s">
        <v>38</v>
      </c>
      <c r="L206" t="s">
        <v>30</v>
      </c>
      <c r="M206" s="6">
        <v>8.5440557170795794E-2</v>
      </c>
    </row>
    <row r="207" spans="1:13" x14ac:dyDescent="0.3">
      <c r="A207">
        <v>1229</v>
      </c>
      <c r="B207" s="1">
        <v>45155</v>
      </c>
      <c r="C207" t="s">
        <v>43</v>
      </c>
      <c r="D207" t="s">
        <v>14</v>
      </c>
      <c r="E207" t="s">
        <v>19</v>
      </c>
      <c r="F207">
        <v>3090.98</v>
      </c>
      <c r="G207">
        <v>703.71</v>
      </c>
      <c r="H207">
        <v>8</v>
      </c>
      <c r="I207">
        <v>2023</v>
      </c>
      <c r="J207">
        <v>8</v>
      </c>
      <c r="K207" t="s">
        <v>38</v>
      </c>
      <c r="L207" t="s">
        <v>20</v>
      </c>
      <c r="M207" s="6">
        <v>0.22766565943487199</v>
      </c>
    </row>
    <row r="208" spans="1:13" x14ac:dyDescent="0.3">
      <c r="A208">
        <v>1230</v>
      </c>
      <c r="B208" s="1">
        <v>45156</v>
      </c>
      <c r="C208" t="s">
        <v>43</v>
      </c>
      <c r="D208" t="s">
        <v>28</v>
      </c>
      <c r="E208" t="s">
        <v>29</v>
      </c>
      <c r="F208">
        <v>4751.6000000000004</v>
      </c>
      <c r="G208">
        <v>765.08</v>
      </c>
      <c r="H208">
        <v>1</v>
      </c>
      <c r="I208">
        <v>2023</v>
      </c>
      <c r="J208">
        <v>8</v>
      </c>
      <c r="K208" t="s">
        <v>38</v>
      </c>
      <c r="L208" t="s">
        <v>23</v>
      </c>
      <c r="M208" s="6">
        <v>0.16101523697280901</v>
      </c>
    </row>
    <row r="209" spans="1:13" x14ac:dyDescent="0.3">
      <c r="A209">
        <v>1231</v>
      </c>
      <c r="B209" s="1">
        <v>45157</v>
      </c>
      <c r="C209" t="s">
        <v>43</v>
      </c>
      <c r="D209" t="s">
        <v>21</v>
      </c>
      <c r="E209" t="s">
        <v>19</v>
      </c>
      <c r="F209">
        <v>2043.58</v>
      </c>
      <c r="G209">
        <v>245.7</v>
      </c>
      <c r="H209">
        <v>5</v>
      </c>
      <c r="I209">
        <v>2023</v>
      </c>
      <c r="J209">
        <v>8</v>
      </c>
      <c r="K209" t="s">
        <v>38</v>
      </c>
      <c r="L209" t="s">
        <v>26</v>
      </c>
      <c r="M209" s="6">
        <v>0.120230184284442</v>
      </c>
    </row>
    <row r="210" spans="1:13" x14ac:dyDescent="0.3">
      <c r="A210">
        <v>1233</v>
      </c>
      <c r="B210" s="1">
        <v>45159</v>
      </c>
      <c r="C210" t="s">
        <v>43</v>
      </c>
      <c r="D210" t="s">
        <v>24</v>
      </c>
      <c r="E210" t="s">
        <v>22</v>
      </c>
      <c r="F210">
        <v>761.51</v>
      </c>
      <c r="G210">
        <v>326.06</v>
      </c>
      <c r="H210">
        <v>4</v>
      </c>
      <c r="I210">
        <v>2023</v>
      </c>
      <c r="J210">
        <v>8</v>
      </c>
      <c r="K210" t="s">
        <v>38</v>
      </c>
      <c r="L210" t="s">
        <v>17</v>
      </c>
      <c r="M210" s="6">
        <v>0.42817559848196302</v>
      </c>
    </row>
    <row r="211" spans="1:13" x14ac:dyDescent="0.3">
      <c r="A211">
        <v>1239</v>
      </c>
      <c r="B211" s="1">
        <v>45165</v>
      </c>
      <c r="C211" t="s">
        <v>43</v>
      </c>
      <c r="D211" t="s">
        <v>18</v>
      </c>
      <c r="E211" t="s">
        <v>19</v>
      </c>
      <c r="F211">
        <v>4247.3999999999996</v>
      </c>
      <c r="G211">
        <v>658.83</v>
      </c>
      <c r="H211">
        <v>5</v>
      </c>
      <c r="I211">
        <v>2023</v>
      </c>
      <c r="J211">
        <v>8</v>
      </c>
      <c r="K211" t="s">
        <v>38</v>
      </c>
      <c r="L211" t="s">
        <v>27</v>
      </c>
      <c r="M211" s="6">
        <v>0.155113716626642</v>
      </c>
    </row>
    <row r="212" spans="1:13" x14ac:dyDescent="0.3">
      <c r="A212">
        <v>1240</v>
      </c>
      <c r="B212" s="1">
        <v>45166</v>
      </c>
      <c r="C212" t="s">
        <v>43</v>
      </c>
      <c r="D212" t="s">
        <v>14</v>
      </c>
      <c r="E212" t="s">
        <v>22</v>
      </c>
      <c r="F212">
        <v>4780.66</v>
      </c>
      <c r="G212">
        <v>825.24</v>
      </c>
      <c r="H212">
        <v>4</v>
      </c>
      <c r="I212">
        <v>2023</v>
      </c>
      <c r="J212">
        <v>8</v>
      </c>
      <c r="K212" t="s">
        <v>38</v>
      </c>
      <c r="L212" t="s">
        <v>17</v>
      </c>
      <c r="M212" s="6">
        <v>0.17262051683240401</v>
      </c>
    </row>
    <row r="213" spans="1:13" x14ac:dyDescent="0.3">
      <c r="A213">
        <v>1243</v>
      </c>
      <c r="B213" s="1">
        <v>45169</v>
      </c>
      <c r="C213" t="s">
        <v>43</v>
      </c>
      <c r="D213" t="s">
        <v>25</v>
      </c>
      <c r="E213" t="s">
        <v>15</v>
      </c>
      <c r="F213">
        <v>2423.7600000000002</v>
      </c>
      <c r="G213">
        <v>124.3</v>
      </c>
      <c r="H213">
        <v>6</v>
      </c>
      <c r="I213">
        <v>2023</v>
      </c>
      <c r="J213">
        <v>8</v>
      </c>
      <c r="K213" t="s">
        <v>38</v>
      </c>
      <c r="L213" t="s">
        <v>20</v>
      </c>
      <c r="M213" s="6">
        <v>5.1283955507145901E-2</v>
      </c>
    </row>
    <row r="214" spans="1:13" x14ac:dyDescent="0.3">
      <c r="A214">
        <v>1246</v>
      </c>
      <c r="B214" s="1">
        <v>45172</v>
      </c>
      <c r="C214" t="s">
        <v>43</v>
      </c>
      <c r="D214" t="s">
        <v>18</v>
      </c>
      <c r="E214" t="s">
        <v>29</v>
      </c>
      <c r="F214">
        <v>2122.69</v>
      </c>
      <c r="G214">
        <v>-481.94</v>
      </c>
      <c r="H214">
        <v>6</v>
      </c>
      <c r="I214">
        <v>2023</v>
      </c>
      <c r="J214">
        <v>9</v>
      </c>
      <c r="K214" t="s">
        <v>39</v>
      </c>
      <c r="L214" t="s">
        <v>27</v>
      </c>
      <c r="M214" s="6">
        <v>-0.22704210223819801</v>
      </c>
    </row>
    <row r="215" spans="1:13" x14ac:dyDescent="0.3">
      <c r="A215">
        <v>1247</v>
      </c>
      <c r="B215" s="1">
        <v>45173</v>
      </c>
      <c r="C215" t="s">
        <v>43</v>
      </c>
      <c r="D215" t="s">
        <v>25</v>
      </c>
      <c r="E215" t="s">
        <v>29</v>
      </c>
      <c r="F215">
        <v>3554.14</v>
      </c>
      <c r="G215">
        <v>676.83</v>
      </c>
      <c r="H215">
        <v>5</v>
      </c>
      <c r="I215">
        <v>2023</v>
      </c>
      <c r="J215">
        <v>9</v>
      </c>
      <c r="K215" t="s">
        <v>39</v>
      </c>
      <c r="L215" t="s">
        <v>17</v>
      </c>
      <c r="M215" s="6">
        <v>0.19043425413742801</v>
      </c>
    </row>
    <row r="216" spans="1:13" x14ac:dyDescent="0.3">
      <c r="A216">
        <v>1248</v>
      </c>
      <c r="B216" s="1">
        <v>45174</v>
      </c>
      <c r="C216" t="s">
        <v>43</v>
      </c>
      <c r="D216" t="s">
        <v>21</v>
      </c>
      <c r="E216" t="s">
        <v>29</v>
      </c>
      <c r="F216">
        <v>3031.6</v>
      </c>
      <c r="G216">
        <v>697.43</v>
      </c>
      <c r="H216">
        <v>7</v>
      </c>
      <c r="I216">
        <v>2023</v>
      </c>
      <c r="J216">
        <v>9</v>
      </c>
      <c r="K216" t="s">
        <v>39</v>
      </c>
      <c r="L216" t="s">
        <v>32</v>
      </c>
      <c r="M216" s="6">
        <v>0.23005343712890899</v>
      </c>
    </row>
    <row r="217" spans="1:13" x14ac:dyDescent="0.3">
      <c r="A217">
        <v>1250</v>
      </c>
      <c r="B217" s="1">
        <v>45176</v>
      </c>
      <c r="C217" t="s">
        <v>43</v>
      </c>
      <c r="D217" t="s">
        <v>28</v>
      </c>
      <c r="E217" t="s">
        <v>22</v>
      </c>
      <c r="F217">
        <v>472.07</v>
      </c>
      <c r="G217">
        <v>-25.94</v>
      </c>
      <c r="H217">
        <v>5</v>
      </c>
      <c r="I217">
        <v>2023</v>
      </c>
      <c r="J217">
        <v>9</v>
      </c>
      <c r="K217" t="s">
        <v>39</v>
      </c>
      <c r="L217" t="s">
        <v>20</v>
      </c>
      <c r="M217" s="6">
        <v>-5.4949477831677501E-2</v>
      </c>
    </row>
    <row r="218" spans="1:13" x14ac:dyDescent="0.3">
      <c r="A218">
        <v>1251</v>
      </c>
      <c r="B218" s="1">
        <v>45177</v>
      </c>
      <c r="C218" t="s">
        <v>43</v>
      </c>
      <c r="D218" t="s">
        <v>21</v>
      </c>
      <c r="E218" t="s">
        <v>29</v>
      </c>
      <c r="F218">
        <v>481.05</v>
      </c>
      <c r="G218">
        <v>-30.65</v>
      </c>
      <c r="H218">
        <v>6</v>
      </c>
      <c r="I218">
        <v>2023</v>
      </c>
      <c r="J218">
        <v>9</v>
      </c>
      <c r="K218" t="s">
        <v>39</v>
      </c>
      <c r="L218" t="s">
        <v>23</v>
      </c>
      <c r="M218" s="6">
        <v>-6.3714790562311593E-2</v>
      </c>
    </row>
    <row r="219" spans="1:13" x14ac:dyDescent="0.3">
      <c r="A219">
        <v>1252</v>
      </c>
      <c r="B219" s="1">
        <v>45178</v>
      </c>
      <c r="C219" t="s">
        <v>43</v>
      </c>
      <c r="D219" t="s">
        <v>21</v>
      </c>
      <c r="E219" t="s">
        <v>22</v>
      </c>
      <c r="F219">
        <v>111.46</v>
      </c>
      <c r="G219">
        <v>1267.42</v>
      </c>
      <c r="H219">
        <v>6</v>
      </c>
      <c r="I219">
        <v>2023</v>
      </c>
      <c r="J219">
        <v>9</v>
      </c>
      <c r="K219" t="s">
        <v>39</v>
      </c>
      <c r="L219" t="s">
        <v>26</v>
      </c>
      <c r="M219" s="6">
        <v>11.3710748250493</v>
      </c>
    </row>
    <row r="220" spans="1:13" x14ac:dyDescent="0.3">
      <c r="A220">
        <v>1253</v>
      </c>
      <c r="B220" s="1">
        <v>45179</v>
      </c>
      <c r="C220" t="s">
        <v>43</v>
      </c>
      <c r="D220" t="s">
        <v>25</v>
      </c>
      <c r="E220" t="s">
        <v>22</v>
      </c>
      <c r="F220">
        <v>4841.7299999999996</v>
      </c>
      <c r="G220">
        <v>384.05</v>
      </c>
      <c r="H220">
        <v>5</v>
      </c>
      <c r="I220">
        <v>2023</v>
      </c>
      <c r="J220">
        <v>9</v>
      </c>
      <c r="K220" t="s">
        <v>39</v>
      </c>
      <c r="L220" t="s">
        <v>27</v>
      </c>
      <c r="M220" s="6">
        <v>7.9320821276692405E-2</v>
      </c>
    </row>
    <row r="221" spans="1:13" x14ac:dyDescent="0.3">
      <c r="A221">
        <v>1256</v>
      </c>
      <c r="B221" s="1">
        <v>45182</v>
      </c>
      <c r="C221" t="s">
        <v>43</v>
      </c>
      <c r="D221" t="s">
        <v>24</v>
      </c>
      <c r="E221" t="s">
        <v>19</v>
      </c>
      <c r="F221">
        <v>1641.52</v>
      </c>
      <c r="G221">
        <v>838.78</v>
      </c>
      <c r="H221">
        <v>7</v>
      </c>
      <c r="I221">
        <v>2023</v>
      </c>
      <c r="J221">
        <v>9</v>
      </c>
      <c r="K221" t="s">
        <v>39</v>
      </c>
      <c r="L221" t="s">
        <v>30</v>
      </c>
      <c r="M221" s="6">
        <v>0.51097763048881495</v>
      </c>
    </row>
    <row r="222" spans="1:13" x14ac:dyDescent="0.3">
      <c r="A222">
        <v>1259</v>
      </c>
      <c r="B222" s="1">
        <v>45185</v>
      </c>
      <c r="C222" t="s">
        <v>43</v>
      </c>
      <c r="D222" t="s">
        <v>25</v>
      </c>
      <c r="E222" t="s">
        <v>22</v>
      </c>
      <c r="F222">
        <v>3971.07</v>
      </c>
      <c r="G222">
        <v>675.77</v>
      </c>
      <c r="H222">
        <v>5</v>
      </c>
      <c r="I222">
        <v>2023</v>
      </c>
      <c r="J222">
        <v>9</v>
      </c>
      <c r="K222" t="s">
        <v>39</v>
      </c>
      <c r="L222" t="s">
        <v>26</v>
      </c>
      <c r="M222" s="6">
        <v>0.170173278234833</v>
      </c>
    </row>
    <row r="223" spans="1:13" x14ac:dyDescent="0.3">
      <c r="A223">
        <v>1263</v>
      </c>
      <c r="B223" s="1">
        <v>45189</v>
      </c>
      <c r="C223" t="s">
        <v>43</v>
      </c>
      <c r="D223" t="s">
        <v>14</v>
      </c>
      <c r="E223" t="s">
        <v>19</v>
      </c>
      <c r="F223">
        <v>4795.04</v>
      </c>
      <c r="G223">
        <v>258.72000000000003</v>
      </c>
      <c r="H223">
        <v>2</v>
      </c>
      <c r="I223">
        <v>2023</v>
      </c>
      <c r="J223">
        <v>9</v>
      </c>
      <c r="K223" t="s">
        <v>39</v>
      </c>
      <c r="L223" t="s">
        <v>30</v>
      </c>
      <c r="M223" s="6">
        <v>5.3955754279422098E-2</v>
      </c>
    </row>
    <row r="224" spans="1:13" x14ac:dyDescent="0.3">
      <c r="A224">
        <v>1264</v>
      </c>
      <c r="B224" s="1">
        <v>45190</v>
      </c>
      <c r="C224" t="s">
        <v>43</v>
      </c>
      <c r="D224" t="s">
        <v>14</v>
      </c>
      <c r="E224" t="s">
        <v>15</v>
      </c>
      <c r="F224">
        <v>3816.12</v>
      </c>
      <c r="G224">
        <v>711.08</v>
      </c>
      <c r="H224">
        <v>5</v>
      </c>
      <c r="I224">
        <v>2023</v>
      </c>
      <c r="J224">
        <v>9</v>
      </c>
      <c r="K224" t="s">
        <v>39</v>
      </c>
      <c r="L224" t="s">
        <v>20</v>
      </c>
      <c r="M224" s="6">
        <v>0.186335859459346</v>
      </c>
    </row>
    <row r="225" spans="1:13" x14ac:dyDescent="0.3">
      <c r="A225">
        <v>1267</v>
      </c>
      <c r="B225" s="1">
        <v>45193</v>
      </c>
      <c r="C225" t="s">
        <v>43</v>
      </c>
      <c r="D225" t="s">
        <v>18</v>
      </c>
      <c r="E225" t="s">
        <v>15</v>
      </c>
      <c r="F225">
        <v>3648.11</v>
      </c>
      <c r="G225">
        <v>1063.58</v>
      </c>
      <c r="H225">
        <v>3</v>
      </c>
      <c r="I225">
        <v>2023</v>
      </c>
      <c r="J225">
        <v>9</v>
      </c>
      <c r="K225" t="s">
        <v>39</v>
      </c>
      <c r="L225" t="s">
        <v>27</v>
      </c>
      <c r="M225" s="6">
        <v>0.29154274405102898</v>
      </c>
    </row>
    <row r="226" spans="1:13" x14ac:dyDescent="0.3">
      <c r="A226">
        <v>1268</v>
      </c>
      <c r="B226" s="1">
        <v>45194</v>
      </c>
      <c r="C226" t="s">
        <v>43</v>
      </c>
      <c r="D226" t="s">
        <v>25</v>
      </c>
      <c r="E226" t="s">
        <v>15</v>
      </c>
      <c r="F226">
        <v>3222.43</v>
      </c>
      <c r="G226">
        <v>910.77</v>
      </c>
      <c r="H226">
        <v>1</v>
      </c>
      <c r="I226">
        <v>2023</v>
      </c>
      <c r="J226">
        <v>9</v>
      </c>
      <c r="K226" t="s">
        <v>39</v>
      </c>
      <c r="L226" t="s">
        <v>17</v>
      </c>
      <c r="M226" s="6">
        <v>0.28263453356628399</v>
      </c>
    </row>
    <row r="227" spans="1:13" x14ac:dyDescent="0.3">
      <c r="A227">
        <v>1277</v>
      </c>
      <c r="B227" s="1">
        <v>45203</v>
      </c>
      <c r="C227" t="s">
        <v>43</v>
      </c>
      <c r="D227" t="s">
        <v>21</v>
      </c>
      <c r="E227" t="s">
        <v>19</v>
      </c>
      <c r="F227">
        <v>4996.83</v>
      </c>
      <c r="G227">
        <v>-396.61</v>
      </c>
      <c r="H227">
        <v>8</v>
      </c>
      <c r="I227">
        <v>2023</v>
      </c>
      <c r="J227">
        <v>10</v>
      </c>
      <c r="K227" t="s">
        <v>40</v>
      </c>
      <c r="L227" t="s">
        <v>30</v>
      </c>
      <c r="M227" s="6">
        <v>-7.9372322052181102E-2</v>
      </c>
    </row>
    <row r="228" spans="1:13" x14ac:dyDescent="0.3">
      <c r="A228">
        <v>1278</v>
      </c>
      <c r="B228" s="1">
        <v>45204</v>
      </c>
      <c r="C228" t="s">
        <v>43</v>
      </c>
      <c r="D228" t="s">
        <v>21</v>
      </c>
      <c r="E228" t="s">
        <v>19</v>
      </c>
      <c r="F228">
        <v>2823.45</v>
      </c>
      <c r="G228">
        <v>780.01</v>
      </c>
      <c r="H228">
        <v>3</v>
      </c>
      <c r="I228">
        <v>2023</v>
      </c>
      <c r="J228">
        <v>10</v>
      </c>
      <c r="K228" t="s">
        <v>40</v>
      </c>
      <c r="L228" t="s">
        <v>20</v>
      </c>
      <c r="M228" s="6">
        <v>0.27626131151605299</v>
      </c>
    </row>
    <row r="229" spans="1:13" x14ac:dyDescent="0.3">
      <c r="A229">
        <v>1281</v>
      </c>
      <c r="B229" s="1">
        <v>45207</v>
      </c>
      <c r="C229" t="s">
        <v>43</v>
      </c>
      <c r="D229" t="s">
        <v>28</v>
      </c>
      <c r="E229" t="s">
        <v>15</v>
      </c>
      <c r="F229">
        <v>690.56</v>
      </c>
      <c r="G229">
        <v>-322.89</v>
      </c>
      <c r="H229">
        <v>6</v>
      </c>
      <c r="I229">
        <v>2023</v>
      </c>
      <c r="J229">
        <v>10</v>
      </c>
      <c r="K229" t="s">
        <v>40</v>
      </c>
      <c r="L229" t="s">
        <v>27</v>
      </c>
      <c r="M229" s="6">
        <v>-0.46757703892493102</v>
      </c>
    </row>
    <row r="230" spans="1:13" x14ac:dyDescent="0.3">
      <c r="A230">
        <v>1282</v>
      </c>
      <c r="B230" s="1">
        <v>45208</v>
      </c>
      <c r="C230" t="s">
        <v>43</v>
      </c>
      <c r="D230" t="s">
        <v>24</v>
      </c>
      <c r="E230" t="s">
        <v>22</v>
      </c>
      <c r="F230">
        <v>3682.02</v>
      </c>
      <c r="G230">
        <v>-293.38</v>
      </c>
      <c r="H230">
        <v>5</v>
      </c>
      <c r="I230">
        <v>2023</v>
      </c>
      <c r="J230">
        <v>10</v>
      </c>
      <c r="K230" t="s">
        <v>40</v>
      </c>
      <c r="L230" t="s">
        <v>17</v>
      </c>
      <c r="M230" s="6">
        <v>-7.9679089195604597E-2</v>
      </c>
    </row>
    <row r="231" spans="1:13" x14ac:dyDescent="0.3">
      <c r="A231">
        <v>1283</v>
      </c>
      <c r="B231" s="1">
        <v>45209</v>
      </c>
      <c r="C231" t="s">
        <v>43</v>
      </c>
      <c r="D231" t="s">
        <v>21</v>
      </c>
      <c r="E231" t="s">
        <v>22</v>
      </c>
      <c r="F231">
        <v>1043.74</v>
      </c>
      <c r="G231">
        <v>669.34</v>
      </c>
      <c r="H231">
        <v>1</v>
      </c>
      <c r="I231">
        <v>2023</v>
      </c>
      <c r="J231">
        <v>10</v>
      </c>
      <c r="K231" t="s">
        <v>40</v>
      </c>
      <c r="L231" t="s">
        <v>32</v>
      </c>
      <c r="M231" s="6">
        <v>0.64128997643091201</v>
      </c>
    </row>
    <row r="232" spans="1:13" x14ac:dyDescent="0.3">
      <c r="A232">
        <v>1286</v>
      </c>
      <c r="B232" s="1">
        <v>45212</v>
      </c>
      <c r="C232" t="s">
        <v>43</v>
      </c>
      <c r="D232" t="s">
        <v>21</v>
      </c>
      <c r="E232" t="s">
        <v>19</v>
      </c>
      <c r="F232">
        <v>3997.18</v>
      </c>
      <c r="G232">
        <v>459.79</v>
      </c>
      <c r="H232">
        <v>8</v>
      </c>
      <c r="I232">
        <v>2023</v>
      </c>
      <c r="J232">
        <v>10</v>
      </c>
      <c r="K232" t="s">
        <v>40</v>
      </c>
      <c r="L232" t="s">
        <v>23</v>
      </c>
      <c r="M232" s="6">
        <v>0.11502859515958801</v>
      </c>
    </row>
    <row r="233" spans="1:13" x14ac:dyDescent="0.3">
      <c r="A233">
        <v>1290</v>
      </c>
      <c r="B233" s="1">
        <v>45216</v>
      </c>
      <c r="C233" t="s">
        <v>43</v>
      </c>
      <c r="D233" t="s">
        <v>24</v>
      </c>
      <c r="E233" t="s">
        <v>29</v>
      </c>
      <c r="F233">
        <v>2659.93</v>
      </c>
      <c r="G233">
        <v>1446.2</v>
      </c>
      <c r="H233">
        <v>2</v>
      </c>
      <c r="I233">
        <v>2023</v>
      </c>
      <c r="J233">
        <v>10</v>
      </c>
      <c r="K233" t="s">
        <v>40</v>
      </c>
      <c r="L233" t="s">
        <v>32</v>
      </c>
      <c r="M233" s="6">
        <v>0.54369851838206296</v>
      </c>
    </row>
    <row r="234" spans="1:13" x14ac:dyDescent="0.3">
      <c r="A234">
        <v>1293</v>
      </c>
      <c r="B234" s="1">
        <v>45219</v>
      </c>
      <c r="C234" t="s">
        <v>43</v>
      </c>
      <c r="D234" t="s">
        <v>25</v>
      </c>
      <c r="E234" t="s">
        <v>15</v>
      </c>
      <c r="F234">
        <v>1887.02</v>
      </c>
      <c r="G234">
        <v>543.46</v>
      </c>
      <c r="H234">
        <v>8</v>
      </c>
      <c r="I234">
        <v>2023</v>
      </c>
      <c r="J234">
        <v>10</v>
      </c>
      <c r="K234" t="s">
        <v>40</v>
      </c>
      <c r="L234" t="s">
        <v>23</v>
      </c>
      <c r="M234" s="6">
        <v>0.28799906731248198</v>
      </c>
    </row>
    <row r="235" spans="1:13" x14ac:dyDescent="0.3">
      <c r="A235">
        <v>1301</v>
      </c>
      <c r="B235" s="1">
        <v>45227</v>
      </c>
      <c r="C235" t="s">
        <v>43</v>
      </c>
      <c r="D235" t="s">
        <v>25</v>
      </c>
      <c r="E235" t="s">
        <v>22</v>
      </c>
      <c r="F235">
        <v>4039.49</v>
      </c>
      <c r="G235">
        <v>-175.24</v>
      </c>
      <c r="H235">
        <v>1</v>
      </c>
      <c r="I235">
        <v>2023</v>
      </c>
      <c r="J235">
        <v>10</v>
      </c>
      <c r="K235" t="s">
        <v>40</v>
      </c>
      <c r="L235" t="s">
        <v>26</v>
      </c>
      <c r="M235" s="6">
        <v>-4.3381714028255997E-2</v>
      </c>
    </row>
    <row r="236" spans="1:13" x14ac:dyDescent="0.3">
      <c r="A236">
        <v>1308</v>
      </c>
      <c r="B236" s="1">
        <v>45234</v>
      </c>
      <c r="C236" t="s">
        <v>43</v>
      </c>
      <c r="D236" t="s">
        <v>21</v>
      </c>
      <c r="E236" t="s">
        <v>29</v>
      </c>
      <c r="F236">
        <v>2145.7800000000002</v>
      </c>
      <c r="G236">
        <v>823.26</v>
      </c>
      <c r="H236">
        <v>5</v>
      </c>
      <c r="I236">
        <v>2023</v>
      </c>
      <c r="J236">
        <v>11</v>
      </c>
      <c r="K236" t="s">
        <v>41</v>
      </c>
      <c r="L236" t="s">
        <v>26</v>
      </c>
      <c r="M236" s="6">
        <v>0.38366468137460502</v>
      </c>
    </row>
    <row r="237" spans="1:13" x14ac:dyDescent="0.3">
      <c r="A237">
        <v>1309</v>
      </c>
      <c r="B237" s="1">
        <v>45235</v>
      </c>
      <c r="C237" t="s">
        <v>43</v>
      </c>
      <c r="D237" t="s">
        <v>21</v>
      </c>
      <c r="E237" t="s">
        <v>19</v>
      </c>
      <c r="F237">
        <v>2363.52</v>
      </c>
      <c r="G237">
        <v>1457.26</v>
      </c>
      <c r="H237">
        <v>8</v>
      </c>
      <c r="I237">
        <v>2023</v>
      </c>
      <c r="J237">
        <v>11</v>
      </c>
      <c r="K237" t="s">
        <v>41</v>
      </c>
      <c r="L237" t="s">
        <v>27</v>
      </c>
      <c r="M237" s="6">
        <v>0.61656343081505605</v>
      </c>
    </row>
    <row r="238" spans="1:13" x14ac:dyDescent="0.3">
      <c r="A238">
        <v>1312</v>
      </c>
      <c r="B238" s="1">
        <v>45238</v>
      </c>
      <c r="C238" t="s">
        <v>43</v>
      </c>
      <c r="D238" t="s">
        <v>25</v>
      </c>
      <c r="E238" t="s">
        <v>22</v>
      </c>
      <c r="F238">
        <v>1008.82</v>
      </c>
      <c r="G238">
        <v>-11.71</v>
      </c>
      <c r="H238">
        <v>7</v>
      </c>
      <c r="I238">
        <v>2023</v>
      </c>
      <c r="J238">
        <v>11</v>
      </c>
      <c r="K238" t="s">
        <v>41</v>
      </c>
      <c r="L238" t="s">
        <v>30</v>
      </c>
      <c r="M238" s="6">
        <v>-1.16076207846791E-2</v>
      </c>
    </row>
    <row r="239" spans="1:13" x14ac:dyDescent="0.3">
      <c r="A239">
        <v>1313</v>
      </c>
      <c r="B239" s="1">
        <v>45239</v>
      </c>
      <c r="C239" t="s">
        <v>43</v>
      </c>
      <c r="D239" t="s">
        <v>24</v>
      </c>
      <c r="E239" t="s">
        <v>22</v>
      </c>
      <c r="F239">
        <v>1981.42</v>
      </c>
      <c r="G239">
        <v>1161.75</v>
      </c>
      <c r="H239">
        <v>1</v>
      </c>
      <c r="I239">
        <v>2023</v>
      </c>
      <c r="J239">
        <v>11</v>
      </c>
      <c r="K239" t="s">
        <v>41</v>
      </c>
      <c r="L239" t="s">
        <v>20</v>
      </c>
      <c r="M239" s="6">
        <v>0.58632193073654204</v>
      </c>
    </row>
    <row r="240" spans="1:13" x14ac:dyDescent="0.3">
      <c r="A240">
        <v>1315</v>
      </c>
      <c r="B240" s="1">
        <v>45241</v>
      </c>
      <c r="C240" t="s">
        <v>43</v>
      </c>
      <c r="D240" t="s">
        <v>18</v>
      </c>
      <c r="E240" t="s">
        <v>22</v>
      </c>
      <c r="F240">
        <v>443.15</v>
      </c>
      <c r="G240">
        <v>1037.04</v>
      </c>
      <c r="H240">
        <v>8</v>
      </c>
      <c r="I240">
        <v>2023</v>
      </c>
      <c r="J240">
        <v>11</v>
      </c>
      <c r="K240" t="s">
        <v>41</v>
      </c>
      <c r="L240" t="s">
        <v>26</v>
      </c>
      <c r="M240" s="6">
        <v>2.3401557034864</v>
      </c>
    </row>
    <row r="241" spans="1:13" x14ac:dyDescent="0.3">
      <c r="A241">
        <v>1322</v>
      </c>
      <c r="B241" s="1">
        <v>45248</v>
      </c>
      <c r="C241" t="s">
        <v>43</v>
      </c>
      <c r="D241" t="s">
        <v>28</v>
      </c>
      <c r="E241" t="s">
        <v>15</v>
      </c>
      <c r="F241">
        <v>1431.27</v>
      </c>
      <c r="G241">
        <v>833.94</v>
      </c>
      <c r="H241">
        <v>8</v>
      </c>
      <c r="I241">
        <v>2023</v>
      </c>
      <c r="J241">
        <v>11</v>
      </c>
      <c r="K241" t="s">
        <v>41</v>
      </c>
      <c r="L241" t="s">
        <v>26</v>
      </c>
      <c r="M241" s="6">
        <v>0.58265736024649395</v>
      </c>
    </row>
    <row r="242" spans="1:13" x14ac:dyDescent="0.3">
      <c r="A242">
        <v>1324</v>
      </c>
      <c r="B242" s="1">
        <v>45250</v>
      </c>
      <c r="C242" t="s">
        <v>43</v>
      </c>
      <c r="D242" t="s">
        <v>14</v>
      </c>
      <c r="E242" t="s">
        <v>29</v>
      </c>
      <c r="F242">
        <v>549.33000000000004</v>
      </c>
      <c r="G242">
        <v>197.15</v>
      </c>
      <c r="H242">
        <v>4</v>
      </c>
      <c r="I242">
        <v>2023</v>
      </c>
      <c r="J242">
        <v>11</v>
      </c>
      <c r="K242" t="s">
        <v>41</v>
      </c>
      <c r="L242" t="s">
        <v>17</v>
      </c>
      <c r="M242" s="6">
        <v>0.35889174084794201</v>
      </c>
    </row>
    <row r="243" spans="1:13" x14ac:dyDescent="0.3">
      <c r="A243">
        <v>1325</v>
      </c>
      <c r="B243" s="1">
        <v>45251</v>
      </c>
      <c r="C243" t="s">
        <v>43</v>
      </c>
      <c r="D243" t="s">
        <v>28</v>
      </c>
      <c r="E243" t="s">
        <v>22</v>
      </c>
      <c r="F243">
        <v>1748.22</v>
      </c>
      <c r="G243">
        <v>-181.43</v>
      </c>
      <c r="H243">
        <v>3</v>
      </c>
      <c r="I243">
        <v>2023</v>
      </c>
      <c r="J243">
        <v>11</v>
      </c>
      <c r="K243" t="s">
        <v>41</v>
      </c>
      <c r="L243" t="s">
        <v>32</v>
      </c>
      <c r="M243" s="6">
        <v>-0.10377984464197899</v>
      </c>
    </row>
    <row r="244" spans="1:13" x14ac:dyDescent="0.3">
      <c r="A244">
        <v>1330</v>
      </c>
      <c r="B244" s="1">
        <v>45256</v>
      </c>
      <c r="C244" t="s">
        <v>43</v>
      </c>
      <c r="D244" t="s">
        <v>14</v>
      </c>
      <c r="E244" t="s">
        <v>15</v>
      </c>
      <c r="F244">
        <v>1555.31</v>
      </c>
      <c r="G244">
        <v>1004.86</v>
      </c>
      <c r="H244">
        <v>5</v>
      </c>
      <c r="I244">
        <v>2023</v>
      </c>
      <c r="J244">
        <v>11</v>
      </c>
      <c r="K244" t="s">
        <v>41</v>
      </c>
      <c r="L244" t="s">
        <v>27</v>
      </c>
      <c r="M244" s="6">
        <v>0.64608341745375497</v>
      </c>
    </row>
    <row r="245" spans="1:13" x14ac:dyDescent="0.3">
      <c r="A245">
        <v>1334</v>
      </c>
      <c r="B245" s="1">
        <v>45260</v>
      </c>
      <c r="C245" t="s">
        <v>43</v>
      </c>
      <c r="D245" t="s">
        <v>21</v>
      </c>
      <c r="E245" t="s">
        <v>29</v>
      </c>
      <c r="F245">
        <v>1458.6</v>
      </c>
      <c r="G245">
        <v>801.02</v>
      </c>
      <c r="H245">
        <v>1</v>
      </c>
      <c r="I245">
        <v>2023</v>
      </c>
      <c r="J245">
        <v>11</v>
      </c>
      <c r="K245" t="s">
        <v>41</v>
      </c>
      <c r="L245" t="s">
        <v>20</v>
      </c>
      <c r="M245" s="6">
        <v>0.54917043740573201</v>
      </c>
    </row>
    <row r="246" spans="1:13" x14ac:dyDescent="0.3">
      <c r="A246">
        <v>1335</v>
      </c>
      <c r="B246" s="1">
        <v>45261</v>
      </c>
      <c r="C246" t="s">
        <v>43</v>
      </c>
      <c r="D246" t="s">
        <v>28</v>
      </c>
      <c r="E246" t="s">
        <v>19</v>
      </c>
      <c r="F246">
        <v>4560.66</v>
      </c>
      <c r="G246">
        <v>1030.3800000000001</v>
      </c>
      <c r="H246">
        <v>8</v>
      </c>
      <c r="I246">
        <v>2023</v>
      </c>
      <c r="J246">
        <v>12</v>
      </c>
      <c r="K246" t="s">
        <v>42</v>
      </c>
      <c r="L246" t="s">
        <v>23</v>
      </c>
      <c r="M246" s="6">
        <v>0.225927826235676</v>
      </c>
    </row>
    <row r="247" spans="1:13" x14ac:dyDescent="0.3">
      <c r="A247">
        <v>1343</v>
      </c>
      <c r="B247" s="1">
        <v>45269</v>
      </c>
      <c r="C247" t="s">
        <v>43</v>
      </c>
      <c r="D247" t="s">
        <v>25</v>
      </c>
      <c r="E247" t="s">
        <v>29</v>
      </c>
      <c r="F247">
        <v>2983.92</v>
      </c>
      <c r="G247">
        <v>93.74</v>
      </c>
      <c r="H247">
        <v>4</v>
      </c>
      <c r="I247">
        <v>2023</v>
      </c>
      <c r="J247">
        <v>12</v>
      </c>
      <c r="K247" t="s">
        <v>42</v>
      </c>
      <c r="L247" t="s">
        <v>26</v>
      </c>
      <c r="M247" s="6">
        <v>3.1415051341858999E-2</v>
      </c>
    </row>
    <row r="248" spans="1:13" x14ac:dyDescent="0.3">
      <c r="A248">
        <v>1350</v>
      </c>
      <c r="B248" s="1">
        <v>45276</v>
      </c>
      <c r="C248" t="s">
        <v>43</v>
      </c>
      <c r="D248" t="s">
        <v>24</v>
      </c>
      <c r="E248" t="s">
        <v>22</v>
      </c>
      <c r="F248">
        <v>418.43</v>
      </c>
      <c r="G248">
        <v>597</v>
      </c>
      <c r="H248">
        <v>5</v>
      </c>
      <c r="I248">
        <v>2023</v>
      </c>
      <c r="J248">
        <v>12</v>
      </c>
      <c r="K248" t="s">
        <v>42</v>
      </c>
      <c r="L248" t="s">
        <v>26</v>
      </c>
      <c r="M248" s="6">
        <v>1.4267619434553001</v>
      </c>
    </row>
    <row r="249" spans="1:13" x14ac:dyDescent="0.3">
      <c r="A249">
        <v>1351</v>
      </c>
      <c r="B249" s="1">
        <v>45277</v>
      </c>
      <c r="C249" t="s">
        <v>43</v>
      </c>
      <c r="D249" t="s">
        <v>14</v>
      </c>
      <c r="E249" t="s">
        <v>15</v>
      </c>
      <c r="F249">
        <v>2067.7399999999998</v>
      </c>
      <c r="G249">
        <v>692.97</v>
      </c>
      <c r="H249">
        <v>4</v>
      </c>
      <c r="I249">
        <v>2023</v>
      </c>
      <c r="J249">
        <v>12</v>
      </c>
      <c r="K249" t="s">
        <v>42</v>
      </c>
      <c r="L249" t="s">
        <v>27</v>
      </c>
      <c r="M249" s="6">
        <v>0.33513401104587598</v>
      </c>
    </row>
    <row r="250" spans="1:13" x14ac:dyDescent="0.3">
      <c r="A250">
        <v>1353</v>
      </c>
      <c r="B250" s="1">
        <v>45279</v>
      </c>
      <c r="C250" t="s">
        <v>43</v>
      </c>
      <c r="D250" t="s">
        <v>25</v>
      </c>
      <c r="E250" t="s">
        <v>29</v>
      </c>
      <c r="F250">
        <v>1229.79</v>
      </c>
      <c r="G250">
        <v>388.84</v>
      </c>
      <c r="H250">
        <v>2</v>
      </c>
      <c r="I250">
        <v>2023</v>
      </c>
      <c r="J250">
        <v>12</v>
      </c>
      <c r="K250" t="s">
        <v>42</v>
      </c>
      <c r="L250" t="s">
        <v>32</v>
      </c>
      <c r="M250" s="6">
        <v>0.316184063945877</v>
      </c>
    </row>
    <row r="251" spans="1:13" x14ac:dyDescent="0.3">
      <c r="A251">
        <v>1356</v>
      </c>
      <c r="B251" s="1">
        <v>45282</v>
      </c>
      <c r="C251" t="s">
        <v>43</v>
      </c>
      <c r="D251" t="s">
        <v>14</v>
      </c>
      <c r="E251" t="s">
        <v>19</v>
      </c>
      <c r="F251">
        <v>330.03</v>
      </c>
      <c r="G251">
        <v>-163.11000000000001</v>
      </c>
      <c r="H251">
        <v>2</v>
      </c>
      <c r="I251">
        <v>2023</v>
      </c>
      <c r="J251">
        <v>12</v>
      </c>
      <c r="K251" t="s">
        <v>42</v>
      </c>
      <c r="L251" t="s">
        <v>23</v>
      </c>
      <c r="M251" s="6">
        <v>-0.49422779747295698</v>
      </c>
    </row>
    <row r="252" spans="1:13" x14ac:dyDescent="0.3">
      <c r="A252">
        <v>1358</v>
      </c>
      <c r="B252" s="1">
        <v>45284</v>
      </c>
      <c r="C252" t="s">
        <v>43</v>
      </c>
      <c r="D252" t="s">
        <v>14</v>
      </c>
      <c r="E252" t="s">
        <v>22</v>
      </c>
      <c r="F252">
        <v>279.99</v>
      </c>
      <c r="G252">
        <v>1018.69</v>
      </c>
      <c r="H252">
        <v>8</v>
      </c>
      <c r="I252">
        <v>2023</v>
      </c>
      <c r="J252">
        <v>12</v>
      </c>
      <c r="K252" t="s">
        <v>42</v>
      </c>
      <c r="L252" t="s">
        <v>27</v>
      </c>
      <c r="M252" s="6">
        <v>3.6383085110182498</v>
      </c>
    </row>
    <row r="253" spans="1:13" x14ac:dyDescent="0.3">
      <c r="A253">
        <v>1362</v>
      </c>
      <c r="B253" s="1">
        <v>45288</v>
      </c>
      <c r="C253" t="s">
        <v>43</v>
      </c>
      <c r="D253" t="s">
        <v>21</v>
      </c>
      <c r="E253" t="s">
        <v>29</v>
      </c>
      <c r="F253">
        <v>3185.91</v>
      </c>
      <c r="G253">
        <v>1194.33</v>
      </c>
      <c r="H253">
        <v>9</v>
      </c>
      <c r="I253">
        <v>2023</v>
      </c>
      <c r="J253">
        <v>12</v>
      </c>
      <c r="K253" t="s">
        <v>42</v>
      </c>
      <c r="L253" t="s">
        <v>20</v>
      </c>
      <c r="M253" s="6">
        <v>0.37487876305356999</v>
      </c>
    </row>
    <row r="254" spans="1:13" x14ac:dyDescent="0.3">
      <c r="A254">
        <v>1365</v>
      </c>
      <c r="B254" s="1">
        <v>45291</v>
      </c>
      <c r="C254" t="s">
        <v>43</v>
      </c>
      <c r="D254" t="s">
        <v>14</v>
      </c>
      <c r="E254" t="s">
        <v>15</v>
      </c>
      <c r="F254">
        <v>3026.64</v>
      </c>
      <c r="G254">
        <v>-282.16000000000003</v>
      </c>
      <c r="H254">
        <v>2</v>
      </c>
      <c r="I254">
        <v>2023</v>
      </c>
      <c r="J254">
        <v>12</v>
      </c>
      <c r="K254" t="s">
        <v>42</v>
      </c>
      <c r="L254" t="s">
        <v>27</v>
      </c>
      <c r="M254" s="6">
        <v>-9.3225490973488798E-2</v>
      </c>
    </row>
    <row r="255" spans="1:13" x14ac:dyDescent="0.3">
      <c r="A255">
        <v>1008</v>
      </c>
      <c r="B255" s="1">
        <v>44934</v>
      </c>
      <c r="C255" t="s">
        <v>44</v>
      </c>
      <c r="D255" t="s">
        <v>24</v>
      </c>
      <c r="E255" t="s">
        <v>29</v>
      </c>
      <c r="F255">
        <v>2706.1</v>
      </c>
      <c r="G255">
        <v>1236.32</v>
      </c>
      <c r="H255">
        <v>6</v>
      </c>
      <c r="I255">
        <v>2023</v>
      </c>
      <c r="J255">
        <v>1</v>
      </c>
      <c r="K255" t="s">
        <v>16</v>
      </c>
      <c r="L255" t="s">
        <v>27</v>
      </c>
      <c r="M255" s="6">
        <v>0.45686412179889901</v>
      </c>
    </row>
    <row r="256" spans="1:13" x14ac:dyDescent="0.3">
      <c r="A256">
        <v>1015</v>
      </c>
      <c r="B256" s="1">
        <v>44941</v>
      </c>
      <c r="C256" t="s">
        <v>44</v>
      </c>
      <c r="D256" t="s">
        <v>28</v>
      </c>
      <c r="E256" t="s">
        <v>15</v>
      </c>
      <c r="F256">
        <v>3499.22</v>
      </c>
      <c r="G256">
        <v>-288.33</v>
      </c>
      <c r="H256">
        <v>6</v>
      </c>
      <c r="I256">
        <v>2023</v>
      </c>
      <c r="J256">
        <v>1</v>
      </c>
      <c r="K256" t="s">
        <v>16</v>
      </c>
      <c r="L256" t="s">
        <v>27</v>
      </c>
      <c r="M256" s="6">
        <v>-8.2398363063768507E-2</v>
      </c>
    </row>
    <row r="257" spans="1:13" x14ac:dyDescent="0.3">
      <c r="A257">
        <v>1017</v>
      </c>
      <c r="B257" s="1">
        <v>44943</v>
      </c>
      <c r="C257" t="s">
        <v>44</v>
      </c>
      <c r="D257" t="s">
        <v>24</v>
      </c>
      <c r="E257" t="s">
        <v>22</v>
      </c>
      <c r="F257">
        <v>4405.28</v>
      </c>
      <c r="G257">
        <v>-121.56</v>
      </c>
      <c r="H257">
        <v>6</v>
      </c>
      <c r="I257">
        <v>2023</v>
      </c>
      <c r="J257">
        <v>1</v>
      </c>
      <c r="K257" t="s">
        <v>16</v>
      </c>
      <c r="L257" t="s">
        <v>32</v>
      </c>
      <c r="M257" s="6">
        <v>-2.7594159735589999E-2</v>
      </c>
    </row>
    <row r="258" spans="1:13" x14ac:dyDescent="0.3">
      <c r="A258">
        <v>1018</v>
      </c>
      <c r="B258" s="1">
        <v>44944</v>
      </c>
      <c r="C258" t="s">
        <v>44</v>
      </c>
      <c r="D258" t="s">
        <v>24</v>
      </c>
      <c r="E258" t="s">
        <v>22</v>
      </c>
      <c r="F258">
        <v>2527.58</v>
      </c>
      <c r="G258">
        <v>1263.27</v>
      </c>
      <c r="H258">
        <v>9</v>
      </c>
      <c r="I258">
        <v>2023</v>
      </c>
      <c r="J258">
        <v>1</v>
      </c>
      <c r="K258" t="s">
        <v>16</v>
      </c>
      <c r="L258" t="s">
        <v>30</v>
      </c>
      <c r="M258" s="6">
        <v>0.499794269617579</v>
      </c>
    </row>
    <row r="259" spans="1:13" x14ac:dyDescent="0.3">
      <c r="A259">
        <v>1019</v>
      </c>
      <c r="B259" s="1">
        <v>44945</v>
      </c>
      <c r="C259" t="s">
        <v>44</v>
      </c>
      <c r="D259" t="s">
        <v>18</v>
      </c>
      <c r="E259" t="s">
        <v>22</v>
      </c>
      <c r="F259">
        <v>3733.16</v>
      </c>
      <c r="G259">
        <v>1422.63</v>
      </c>
      <c r="H259">
        <v>9</v>
      </c>
      <c r="I259">
        <v>2023</v>
      </c>
      <c r="J259">
        <v>1</v>
      </c>
      <c r="K259" t="s">
        <v>16</v>
      </c>
      <c r="L259" t="s">
        <v>20</v>
      </c>
      <c r="M259" s="6">
        <v>0.38107930011036201</v>
      </c>
    </row>
    <row r="260" spans="1:13" x14ac:dyDescent="0.3">
      <c r="A260">
        <v>1020</v>
      </c>
      <c r="B260" s="1">
        <v>44946</v>
      </c>
      <c r="C260" t="s">
        <v>44</v>
      </c>
      <c r="D260" t="s">
        <v>28</v>
      </c>
      <c r="E260" t="s">
        <v>22</v>
      </c>
      <c r="F260">
        <v>2908.44</v>
      </c>
      <c r="G260">
        <v>430.94</v>
      </c>
      <c r="H260">
        <v>8</v>
      </c>
      <c r="I260">
        <v>2023</v>
      </c>
      <c r="J260">
        <v>1</v>
      </c>
      <c r="K260" t="s">
        <v>16</v>
      </c>
      <c r="L260" t="s">
        <v>23</v>
      </c>
      <c r="M260" s="6">
        <v>0.14816877776402501</v>
      </c>
    </row>
    <row r="261" spans="1:13" x14ac:dyDescent="0.3">
      <c r="A261">
        <v>1023</v>
      </c>
      <c r="B261" s="1">
        <v>44949</v>
      </c>
      <c r="C261" t="s">
        <v>44</v>
      </c>
      <c r="D261" t="s">
        <v>25</v>
      </c>
      <c r="E261" t="s">
        <v>22</v>
      </c>
      <c r="F261">
        <v>3564.2</v>
      </c>
      <c r="G261">
        <v>1139.8900000000001</v>
      </c>
      <c r="H261">
        <v>8</v>
      </c>
      <c r="I261">
        <v>2023</v>
      </c>
      <c r="J261">
        <v>1</v>
      </c>
      <c r="K261" t="s">
        <v>16</v>
      </c>
      <c r="L261" t="s">
        <v>17</v>
      </c>
      <c r="M261" s="6">
        <v>0.31981650861343403</v>
      </c>
    </row>
    <row r="262" spans="1:13" x14ac:dyDescent="0.3">
      <c r="A262">
        <v>1024</v>
      </c>
      <c r="B262" s="1">
        <v>44950</v>
      </c>
      <c r="C262" t="s">
        <v>44</v>
      </c>
      <c r="D262" t="s">
        <v>28</v>
      </c>
      <c r="E262" t="s">
        <v>19</v>
      </c>
      <c r="F262">
        <v>3915</v>
      </c>
      <c r="G262">
        <v>-42.75</v>
      </c>
      <c r="H262">
        <v>1</v>
      </c>
      <c r="I262">
        <v>2023</v>
      </c>
      <c r="J262">
        <v>1</v>
      </c>
      <c r="K262" t="s">
        <v>16</v>
      </c>
      <c r="L262" t="s">
        <v>32</v>
      </c>
      <c r="M262" s="6">
        <v>-1.0919540229885101E-2</v>
      </c>
    </row>
    <row r="263" spans="1:13" x14ac:dyDescent="0.3">
      <c r="A263">
        <v>1031</v>
      </c>
      <c r="B263" s="1">
        <v>44957</v>
      </c>
      <c r="C263" t="s">
        <v>44</v>
      </c>
      <c r="D263" t="s">
        <v>28</v>
      </c>
      <c r="E263" t="s">
        <v>15</v>
      </c>
      <c r="F263">
        <v>2728.76</v>
      </c>
      <c r="G263">
        <v>-331.8</v>
      </c>
      <c r="H263">
        <v>7</v>
      </c>
      <c r="I263">
        <v>2023</v>
      </c>
      <c r="J263">
        <v>1</v>
      </c>
      <c r="K263" t="s">
        <v>16</v>
      </c>
      <c r="L263" t="s">
        <v>32</v>
      </c>
      <c r="M263" s="6">
        <v>-0.12159369090722499</v>
      </c>
    </row>
    <row r="264" spans="1:13" x14ac:dyDescent="0.3">
      <c r="A264">
        <v>1033</v>
      </c>
      <c r="B264" s="1">
        <v>44959</v>
      </c>
      <c r="C264" t="s">
        <v>44</v>
      </c>
      <c r="D264" t="s">
        <v>18</v>
      </c>
      <c r="E264" t="s">
        <v>29</v>
      </c>
      <c r="F264">
        <v>2339.3000000000002</v>
      </c>
      <c r="G264">
        <v>619.69000000000005</v>
      </c>
      <c r="H264">
        <v>2</v>
      </c>
      <c r="I264">
        <v>2023</v>
      </c>
      <c r="J264">
        <v>2</v>
      </c>
      <c r="K264" t="s">
        <v>31</v>
      </c>
      <c r="L264" t="s">
        <v>20</v>
      </c>
      <c r="M264" s="6">
        <v>0.26490403112042099</v>
      </c>
    </row>
    <row r="265" spans="1:13" x14ac:dyDescent="0.3">
      <c r="A265">
        <v>1034</v>
      </c>
      <c r="B265" s="1">
        <v>44960</v>
      </c>
      <c r="C265" t="s">
        <v>44</v>
      </c>
      <c r="D265" t="s">
        <v>28</v>
      </c>
      <c r="E265" t="s">
        <v>19</v>
      </c>
      <c r="F265">
        <v>3059.39</v>
      </c>
      <c r="G265">
        <v>-268.31</v>
      </c>
      <c r="H265">
        <v>3</v>
      </c>
      <c r="I265">
        <v>2023</v>
      </c>
      <c r="J265">
        <v>2</v>
      </c>
      <c r="K265" t="s">
        <v>31</v>
      </c>
      <c r="L265" t="s">
        <v>23</v>
      </c>
      <c r="M265" s="6">
        <v>-8.7700489313229102E-2</v>
      </c>
    </row>
    <row r="266" spans="1:13" x14ac:dyDescent="0.3">
      <c r="A266">
        <v>1036</v>
      </c>
      <c r="B266" s="1">
        <v>44962</v>
      </c>
      <c r="C266" t="s">
        <v>44</v>
      </c>
      <c r="D266" t="s">
        <v>14</v>
      </c>
      <c r="E266" t="s">
        <v>15</v>
      </c>
      <c r="F266">
        <v>2745.32</v>
      </c>
      <c r="G266">
        <v>-481.86</v>
      </c>
      <c r="H266">
        <v>1</v>
      </c>
      <c r="I266">
        <v>2023</v>
      </c>
      <c r="J266">
        <v>2</v>
      </c>
      <c r="K266" t="s">
        <v>31</v>
      </c>
      <c r="L266" t="s">
        <v>27</v>
      </c>
      <c r="M266" s="6">
        <v>-0.175520522197777</v>
      </c>
    </row>
    <row r="267" spans="1:13" x14ac:dyDescent="0.3">
      <c r="A267">
        <v>1047</v>
      </c>
      <c r="B267" s="1">
        <v>44973</v>
      </c>
      <c r="C267" t="s">
        <v>44</v>
      </c>
      <c r="D267" t="s">
        <v>14</v>
      </c>
      <c r="E267" t="s">
        <v>19</v>
      </c>
      <c r="F267">
        <v>1778.37</v>
      </c>
      <c r="G267">
        <v>-152.49</v>
      </c>
      <c r="H267">
        <v>6</v>
      </c>
      <c r="I267">
        <v>2023</v>
      </c>
      <c r="J267">
        <v>2</v>
      </c>
      <c r="K267" t="s">
        <v>31</v>
      </c>
      <c r="L267" t="s">
        <v>20</v>
      </c>
      <c r="M267" s="6">
        <v>-8.5747060510467502E-2</v>
      </c>
    </row>
    <row r="268" spans="1:13" x14ac:dyDescent="0.3">
      <c r="A268">
        <v>1049</v>
      </c>
      <c r="B268" s="1">
        <v>44975</v>
      </c>
      <c r="C268" t="s">
        <v>44</v>
      </c>
      <c r="D268" t="s">
        <v>24</v>
      </c>
      <c r="E268" t="s">
        <v>22</v>
      </c>
      <c r="F268">
        <v>2175.62</v>
      </c>
      <c r="G268">
        <v>1394.6</v>
      </c>
      <c r="H268">
        <v>3</v>
      </c>
      <c r="I268">
        <v>2023</v>
      </c>
      <c r="J268">
        <v>2</v>
      </c>
      <c r="K268" t="s">
        <v>31</v>
      </c>
      <c r="L268" t="s">
        <v>26</v>
      </c>
      <c r="M268" s="6">
        <v>0.64101267684614005</v>
      </c>
    </row>
    <row r="269" spans="1:13" x14ac:dyDescent="0.3">
      <c r="A269">
        <v>1050</v>
      </c>
      <c r="B269" s="1">
        <v>44976</v>
      </c>
      <c r="C269" t="s">
        <v>44</v>
      </c>
      <c r="D269" t="s">
        <v>21</v>
      </c>
      <c r="E269" t="s">
        <v>22</v>
      </c>
      <c r="F269">
        <v>1510.86</v>
      </c>
      <c r="G269">
        <v>-167.24</v>
      </c>
      <c r="H269">
        <v>7</v>
      </c>
      <c r="I269">
        <v>2023</v>
      </c>
      <c r="J269">
        <v>2</v>
      </c>
      <c r="K269" t="s">
        <v>31</v>
      </c>
      <c r="L269" t="s">
        <v>27</v>
      </c>
      <c r="M269" s="6">
        <v>-0.11069192380498501</v>
      </c>
    </row>
    <row r="270" spans="1:13" x14ac:dyDescent="0.3">
      <c r="A270">
        <v>1051</v>
      </c>
      <c r="B270" s="1">
        <v>44977</v>
      </c>
      <c r="C270" t="s">
        <v>44</v>
      </c>
      <c r="D270" t="s">
        <v>28</v>
      </c>
      <c r="E270" t="s">
        <v>22</v>
      </c>
      <c r="F270">
        <v>3113.26</v>
      </c>
      <c r="G270">
        <v>1041.97</v>
      </c>
      <c r="H270">
        <v>9</v>
      </c>
      <c r="I270">
        <v>2023</v>
      </c>
      <c r="J270">
        <v>2</v>
      </c>
      <c r="K270" t="s">
        <v>31</v>
      </c>
      <c r="L270" t="s">
        <v>17</v>
      </c>
      <c r="M270" s="6">
        <v>0.33468775495782599</v>
      </c>
    </row>
    <row r="271" spans="1:13" x14ac:dyDescent="0.3">
      <c r="A271">
        <v>1053</v>
      </c>
      <c r="B271" s="1">
        <v>44979</v>
      </c>
      <c r="C271" t="s">
        <v>44</v>
      </c>
      <c r="D271" t="s">
        <v>21</v>
      </c>
      <c r="E271" t="s">
        <v>22</v>
      </c>
      <c r="F271">
        <v>781.67</v>
      </c>
      <c r="G271">
        <v>447.15</v>
      </c>
      <c r="H271">
        <v>9</v>
      </c>
      <c r="I271">
        <v>2023</v>
      </c>
      <c r="J271">
        <v>2</v>
      </c>
      <c r="K271" t="s">
        <v>31</v>
      </c>
      <c r="L271" t="s">
        <v>30</v>
      </c>
      <c r="M271" s="6">
        <v>0.57204446889352301</v>
      </c>
    </row>
    <row r="272" spans="1:13" x14ac:dyDescent="0.3">
      <c r="A272">
        <v>1055</v>
      </c>
      <c r="B272" s="1">
        <v>44981</v>
      </c>
      <c r="C272" t="s">
        <v>44</v>
      </c>
      <c r="D272" t="s">
        <v>14</v>
      </c>
      <c r="E272" t="s">
        <v>15</v>
      </c>
      <c r="F272">
        <v>1354.48</v>
      </c>
      <c r="G272">
        <v>-350.61</v>
      </c>
      <c r="H272">
        <v>3</v>
      </c>
      <c r="I272">
        <v>2023</v>
      </c>
      <c r="J272">
        <v>2</v>
      </c>
      <c r="K272" t="s">
        <v>31</v>
      </c>
      <c r="L272" t="s">
        <v>23</v>
      </c>
      <c r="M272" s="6">
        <v>-0.25885210560510302</v>
      </c>
    </row>
    <row r="273" spans="1:13" x14ac:dyDescent="0.3">
      <c r="A273">
        <v>1061</v>
      </c>
      <c r="B273" s="1">
        <v>44987</v>
      </c>
      <c r="C273" t="s">
        <v>44</v>
      </c>
      <c r="D273" t="s">
        <v>25</v>
      </c>
      <c r="E273" t="s">
        <v>29</v>
      </c>
      <c r="F273">
        <v>212.81</v>
      </c>
      <c r="G273">
        <v>688.79</v>
      </c>
      <c r="H273">
        <v>7</v>
      </c>
      <c r="I273">
        <v>2023</v>
      </c>
      <c r="J273">
        <v>3</v>
      </c>
      <c r="K273" t="s">
        <v>33</v>
      </c>
      <c r="L273" t="s">
        <v>20</v>
      </c>
      <c r="M273" s="6">
        <v>3.23664301489592</v>
      </c>
    </row>
    <row r="274" spans="1:13" x14ac:dyDescent="0.3">
      <c r="A274">
        <v>1063</v>
      </c>
      <c r="B274" s="1">
        <v>44989</v>
      </c>
      <c r="C274" t="s">
        <v>44</v>
      </c>
      <c r="D274" t="s">
        <v>21</v>
      </c>
      <c r="E274" t="s">
        <v>29</v>
      </c>
      <c r="F274">
        <v>3879.11</v>
      </c>
      <c r="G274">
        <v>-368.75</v>
      </c>
      <c r="H274">
        <v>1</v>
      </c>
      <c r="I274">
        <v>2023</v>
      </c>
      <c r="J274">
        <v>3</v>
      </c>
      <c r="K274" t="s">
        <v>33</v>
      </c>
      <c r="L274" t="s">
        <v>26</v>
      </c>
      <c r="M274" s="6">
        <v>-9.5060464900454E-2</v>
      </c>
    </row>
    <row r="275" spans="1:13" x14ac:dyDescent="0.3">
      <c r="A275">
        <v>1064</v>
      </c>
      <c r="B275" s="1">
        <v>44990</v>
      </c>
      <c r="C275" t="s">
        <v>44</v>
      </c>
      <c r="D275" t="s">
        <v>25</v>
      </c>
      <c r="E275" t="s">
        <v>19</v>
      </c>
      <c r="F275">
        <v>1934.73</v>
      </c>
      <c r="G275">
        <v>1143.03</v>
      </c>
      <c r="H275">
        <v>7</v>
      </c>
      <c r="I275">
        <v>2023</v>
      </c>
      <c r="J275">
        <v>3</v>
      </c>
      <c r="K275" t="s">
        <v>33</v>
      </c>
      <c r="L275" t="s">
        <v>27</v>
      </c>
      <c r="M275" s="6">
        <v>0.59079561489200005</v>
      </c>
    </row>
    <row r="276" spans="1:13" x14ac:dyDescent="0.3">
      <c r="A276">
        <v>1065</v>
      </c>
      <c r="B276" s="1">
        <v>44991</v>
      </c>
      <c r="C276" t="s">
        <v>44</v>
      </c>
      <c r="D276" t="s">
        <v>25</v>
      </c>
      <c r="E276" t="s">
        <v>15</v>
      </c>
      <c r="F276">
        <v>437.72</v>
      </c>
      <c r="G276">
        <v>243.67</v>
      </c>
      <c r="H276">
        <v>8</v>
      </c>
      <c r="I276">
        <v>2023</v>
      </c>
      <c r="J276">
        <v>3</v>
      </c>
      <c r="K276" t="s">
        <v>33</v>
      </c>
      <c r="L276" t="s">
        <v>17</v>
      </c>
      <c r="M276" s="6">
        <v>0.55668006945078996</v>
      </c>
    </row>
    <row r="277" spans="1:13" x14ac:dyDescent="0.3">
      <c r="A277">
        <v>1066</v>
      </c>
      <c r="B277" s="1">
        <v>44992</v>
      </c>
      <c r="C277" t="s">
        <v>44</v>
      </c>
      <c r="D277" t="s">
        <v>24</v>
      </c>
      <c r="E277" t="s">
        <v>19</v>
      </c>
      <c r="F277">
        <v>478.87</v>
      </c>
      <c r="G277">
        <v>1137.57</v>
      </c>
      <c r="H277">
        <v>3</v>
      </c>
      <c r="I277">
        <v>2023</v>
      </c>
      <c r="J277">
        <v>3</v>
      </c>
      <c r="K277" t="s">
        <v>33</v>
      </c>
      <c r="L277" t="s">
        <v>32</v>
      </c>
      <c r="M277" s="6">
        <v>2.3755298932904498</v>
      </c>
    </row>
    <row r="278" spans="1:13" x14ac:dyDescent="0.3">
      <c r="A278">
        <v>1067</v>
      </c>
      <c r="B278" s="1">
        <v>44993</v>
      </c>
      <c r="C278" t="s">
        <v>44</v>
      </c>
      <c r="D278" t="s">
        <v>25</v>
      </c>
      <c r="E278" t="s">
        <v>22</v>
      </c>
      <c r="F278">
        <v>610.80999999999995</v>
      </c>
      <c r="G278">
        <v>5.0199999999999996</v>
      </c>
      <c r="H278">
        <v>4</v>
      </c>
      <c r="I278">
        <v>2023</v>
      </c>
      <c r="J278">
        <v>3</v>
      </c>
      <c r="K278" t="s">
        <v>33</v>
      </c>
      <c r="L278" t="s">
        <v>30</v>
      </c>
      <c r="M278" s="6">
        <v>8.2185949804358203E-3</v>
      </c>
    </row>
    <row r="279" spans="1:13" x14ac:dyDescent="0.3">
      <c r="A279">
        <v>1068</v>
      </c>
      <c r="B279" s="1">
        <v>44994</v>
      </c>
      <c r="C279" t="s">
        <v>44</v>
      </c>
      <c r="D279" t="s">
        <v>18</v>
      </c>
      <c r="E279" t="s">
        <v>15</v>
      </c>
      <c r="F279">
        <v>4218.1499999999996</v>
      </c>
      <c r="G279">
        <v>-497.94</v>
      </c>
      <c r="H279">
        <v>6</v>
      </c>
      <c r="I279">
        <v>2023</v>
      </c>
      <c r="J279">
        <v>3</v>
      </c>
      <c r="K279" t="s">
        <v>33</v>
      </c>
      <c r="L279" t="s">
        <v>20</v>
      </c>
      <c r="M279" s="6">
        <v>-0.118047011130472</v>
      </c>
    </row>
    <row r="280" spans="1:13" x14ac:dyDescent="0.3">
      <c r="A280">
        <v>1069</v>
      </c>
      <c r="B280" s="1">
        <v>44995</v>
      </c>
      <c r="C280" t="s">
        <v>44</v>
      </c>
      <c r="D280" t="s">
        <v>28</v>
      </c>
      <c r="E280" t="s">
        <v>22</v>
      </c>
      <c r="F280">
        <v>4562.3599999999997</v>
      </c>
      <c r="G280">
        <v>-182.12</v>
      </c>
      <c r="H280">
        <v>7</v>
      </c>
      <c r="I280">
        <v>2023</v>
      </c>
      <c r="J280">
        <v>3</v>
      </c>
      <c r="K280" t="s">
        <v>33</v>
      </c>
      <c r="L280" t="s">
        <v>23</v>
      </c>
      <c r="M280" s="6">
        <v>-3.9917937207936197E-2</v>
      </c>
    </row>
    <row r="281" spans="1:13" x14ac:dyDescent="0.3">
      <c r="A281">
        <v>1072</v>
      </c>
      <c r="B281" s="1">
        <v>44998</v>
      </c>
      <c r="C281" t="s">
        <v>44</v>
      </c>
      <c r="D281" t="s">
        <v>25</v>
      </c>
      <c r="E281" t="s">
        <v>29</v>
      </c>
      <c r="F281">
        <v>911.05</v>
      </c>
      <c r="G281">
        <v>-295.61</v>
      </c>
      <c r="H281">
        <v>5</v>
      </c>
      <c r="I281">
        <v>2023</v>
      </c>
      <c r="J281">
        <v>3</v>
      </c>
      <c r="K281" t="s">
        <v>33</v>
      </c>
      <c r="L281" t="s">
        <v>17</v>
      </c>
      <c r="M281" s="6">
        <v>-0.32447176334998101</v>
      </c>
    </row>
    <row r="282" spans="1:13" x14ac:dyDescent="0.3">
      <c r="A282">
        <v>1073</v>
      </c>
      <c r="B282" s="1">
        <v>44999</v>
      </c>
      <c r="C282" t="s">
        <v>44</v>
      </c>
      <c r="D282" t="s">
        <v>24</v>
      </c>
      <c r="E282" t="s">
        <v>29</v>
      </c>
      <c r="F282">
        <v>1012.97</v>
      </c>
      <c r="G282">
        <v>1208.42</v>
      </c>
      <c r="H282">
        <v>1</v>
      </c>
      <c r="I282">
        <v>2023</v>
      </c>
      <c r="J282">
        <v>3</v>
      </c>
      <c r="K282" t="s">
        <v>33</v>
      </c>
      <c r="L282" t="s">
        <v>32</v>
      </c>
      <c r="M282" s="6">
        <v>1.1929474712972701</v>
      </c>
    </row>
    <row r="283" spans="1:13" x14ac:dyDescent="0.3">
      <c r="A283">
        <v>1074</v>
      </c>
      <c r="B283" s="1">
        <v>45000</v>
      </c>
      <c r="C283" t="s">
        <v>44</v>
      </c>
      <c r="D283" t="s">
        <v>21</v>
      </c>
      <c r="E283" t="s">
        <v>19</v>
      </c>
      <c r="F283">
        <v>4203.7</v>
      </c>
      <c r="G283">
        <v>554.04999999999995</v>
      </c>
      <c r="H283">
        <v>4</v>
      </c>
      <c r="I283">
        <v>2023</v>
      </c>
      <c r="J283">
        <v>3</v>
      </c>
      <c r="K283" t="s">
        <v>33</v>
      </c>
      <c r="L283" t="s">
        <v>30</v>
      </c>
      <c r="M283" s="6">
        <v>0.13180055665247301</v>
      </c>
    </row>
    <row r="284" spans="1:13" x14ac:dyDescent="0.3">
      <c r="A284">
        <v>1075</v>
      </c>
      <c r="B284" s="1">
        <v>45001</v>
      </c>
      <c r="C284" t="s">
        <v>44</v>
      </c>
      <c r="D284" t="s">
        <v>25</v>
      </c>
      <c r="E284" t="s">
        <v>22</v>
      </c>
      <c r="F284">
        <v>1727.52</v>
      </c>
      <c r="G284">
        <v>1151.8399999999999</v>
      </c>
      <c r="H284">
        <v>3</v>
      </c>
      <c r="I284">
        <v>2023</v>
      </c>
      <c r="J284">
        <v>3</v>
      </c>
      <c r="K284" t="s">
        <v>33</v>
      </c>
      <c r="L284" t="s">
        <v>20</v>
      </c>
      <c r="M284" s="6">
        <v>0.66675928498657</v>
      </c>
    </row>
    <row r="285" spans="1:13" x14ac:dyDescent="0.3">
      <c r="A285">
        <v>1076</v>
      </c>
      <c r="B285" s="1">
        <v>45002</v>
      </c>
      <c r="C285" t="s">
        <v>44</v>
      </c>
      <c r="D285" t="s">
        <v>24</v>
      </c>
      <c r="E285" t="s">
        <v>19</v>
      </c>
      <c r="F285">
        <v>1626.08</v>
      </c>
      <c r="G285">
        <v>96.75</v>
      </c>
      <c r="H285">
        <v>9</v>
      </c>
      <c r="I285">
        <v>2023</v>
      </c>
      <c r="J285">
        <v>3</v>
      </c>
      <c r="K285" t="s">
        <v>33</v>
      </c>
      <c r="L285" t="s">
        <v>23</v>
      </c>
      <c r="M285" s="6">
        <v>5.9498917642428401E-2</v>
      </c>
    </row>
    <row r="286" spans="1:13" x14ac:dyDescent="0.3">
      <c r="A286">
        <v>1077</v>
      </c>
      <c r="B286" s="1">
        <v>45003</v>
      </c>
      <c r="C286" t="s">
        <v>44</v>
      </c>
      <c r="D286" t="s">
        <v>28</v>
      </c>
      <c r="E286" t="s">
        <v>29</v>
      </c>
      <c r="F286">
        <v>1214.24</v>
      </c>
      <c r="G286">
        <v>1179.8900000000001</v>
      </c>
      <c r="H286">
        <v>8</v>
      </c>
      <c r="I286">
        <v>2023</v>
      </c>
      <c r="J286">
        <v>3</v>
      </c>
      <c r="K286" t="s">
        <v>33</v>
      </c>
      <c r="L286" t="s">
        <v>26</v>
      </c>
      <c r="M286" s="6">
        <v>0.97171069969693002</v>
      </c>
    </row>
    <row r="287" spans="1:13" x14ac:dyDescent="0.3">
      <c r="A287">
        <v>1080</v>
      </c>
      <c r="B287" s="1">
        <v>45006</v>
      </c>
      <c r="C287" t="s">
        <v>44</v>
      </c>
      <c r="D287" t="s">
        <v>24</v>
      </c>
      <c r="E287" t="s">
        <v>19</v>
      </c>
      <c r="F287">
        <v>3746.82</v>
      </c>
      <c r="G287">
        <v>-237.33</v>
      </c>
      <c r="H287">
        <v>9</v>
      </c>
      <c r="I287">
        <v>2023</v>
      </c>
      <c r="J287">
        <v>3</v>
      </c>
      <c r="K287" t="s">
        <v>33</v>
      </c>
      <c r="L287" t="s">
        <v>32</v>
      </c>
      <c r="M287" s="6">
        <v>-6.3341713773279698E-2</v>
      </c>
    </row>
    <row r="288" spans="1:13" x14ac:dyDescent="0.3">
      <c r="A288">
        <v>1083</v>
      </c>
      <c r="B288" s="1">
        <v>45009</v>
      </c>
      <c r="C288" t="s">
        <v>44</v>
      </c>
      <c r="D288" t="s">
        <v>28</v>
      </c>
      <c r="E288" t="s">
        <v>29</v>
      </c>
      <c r="F288">
        <v>3058.24</v>
      </c>
      <c r="G288">
        <v>-437.4</v>
      </c>
      <c r="H288">
        <v>1</v>
      </c>
      <c r="I288">
        <v>2023</v>
      </c>
      <c r="J288">
        <v>3</v>
      </c>
      <c r="K288" t="s">
        <v>33</v>
      </c>
      <c r="L288" t="s">
        <v>23</v>
      </c>
      <c r="M288" s="6">
        <v>-0.143023438317464</v>
      </c>
    </row>
    <row r="289" spans="1:13" x14ac:dyDescent="0.3">
      <c r="A289">
        <v>1086</v>
      </c>
      <c r="B289" s="1">
        <v>45012</v>
      </c>
      <c r="C289" t="s">
        <v>44</v>
      </c>
      <c r="D289" t="s">
        <v>14</v>
      </c>
      <c r="E289" t="s">
        <v>29</v>
      </c>
      <c r="F289">
        <v>4331.24</v>
      </c>
      <c r="G289">
        <v>1214.72</v>
      </c>
      <c r="H289">
        <v>5</v>
      </c>
      <c r="I289">
        <v>2023</v>
      </c>
      <c r="J289">
        <v>3</v>
      </c>
      <c r="K289" t="s">
        <v>33</v>
      </c>
      <c r="L289" t="s">
        <v>17</v>
      </c>
      <c r="M289" s="6">
        <v>0.28045548157109701</v>
      </c>
    </row>
    <row r="290" spans="1:13" x14ac:dyDescent="0.3">
      <c r="A290">
        <v>1089</v>
      </c>
      <c r="B290" s="1">
        <v>45015</v>
      </c>
      <c r="C290" t="s">
        <v>44</v>
      </c>
      <c r="D290" t="s">
        <v>28</v>
      </c>
      <c r="E290" t="s">
        <v>22</v>
      </c>
      <c r="F290">
        <v>2456.1</v>
      </c>
      <c r="G290">
        <v>384.6</v>
      </c>
      <c r="H290">
        <v>8</v>
      </c>
      <c r="I290">
        <v>2023</v>
      </c>
      <c r="J290">
        <v>3</v>
      </c>
      <c r="K290" t="s">
        <v>33</v>
      </c>
      <c r="L290" t="s">
        <v>20</v>
      </c>
      <c r="M290" s="6">
        <v>0.15658971540246699</v>
      </c>
    </row>
    <row r="291" spans="1:13" x14ac:dyDescent="0.3">
      <c r="A291">
        <v>1110</v>
      </c>
      <c r="B291" s="1">
        <v>45036</v>
      </c>
      <c r="C291" t="s">
        <v>44</v>
      </c>
      <c r="D291" t="s">
        <v>21</v>
      </c>
      <c r="E291" t="s">
        <v>15</v>
      </c>
      <c r="F291">
        <v>1568.02</v>
      </c>
      <c r="G291">
        <v>1435.02</v>
      </c>
      <c r="H291">
        <v>7</v>
      </c>
      <c r="I291">
        <v>2023</v>
      </c>
      <c r="J291">
        <v>4</v>
      </c>
      <c r="K291" t="s">
        <v>34</v>
      </c>
      <c r="L291" t="s">
        <v>20</v>
      </c>
      <c r="M291" s="6">
        <v>0.91517965332074802</v>
      </c>
    </row>
    <row r="292" spans="1:13" x14ac:dyDescent="0.3">
      <c r="A292">
        <v>1112</v>
      </c>
      <c r="B292" s="1">
        <v>45038</v>
      </c>
      <c r="C292" t="s">
        <v>44</v>
      </c>
      <c r="D292" t="s">
        <v>18</v>
      </c>
      <c r="E292" t="s">
        <v>15</v>
      </c>
      <c r="F292">
        <v>2046.86</v>
      </c>
      <c r="G292">
        <v>424.19</v>
      </c>
      <c r="H292">
        <v>7</v>
      </c>
      <c r="I292">
        <v>2023</v>
      </c>
      <c r="J292">
        <v>4</v>
      </c>
      <c r="K292" t="s">
        <v>34</v>
      </c>
      <c r="L292" t="s">
        <v>26</v>
      </c>
      <c r="M292" s="6">
        <v>0.20723938129622901</v>
      </c>
    </row>
    <row r="293" spans="1:13" x14ac:dyDescent="0.3">
      <c r="A293">
        <v>1116</v>
      </c>
      <c r="B293" s="1">
        <v>45042</v>
      </c>
      <c r="C293" t="s">
        <v>44</v>
      </c>
      <c r="D293" t="s">
        <v>18</v>
      </c>
      <c r="E293" t="s">
        <v>22</v>
      </c>
      <c r="F293">
        <v>2394.34</v>
      </c>
      <c r="G293">
        <v>-4.92</v>
      </c>
      <c r="H293">
        <v>3</v>
      </c>
      <c r="I293">
        <v>2023</v>
      </c>
      <c r="J293">
        <v>4</v>
      </c>
      <c r="K293" t="s">
        <v>34</v>
      </c>
      <c r="L293" t="s">
        <v>30</v>
      </c>
      <c r="M293" s="6">
        <v>-2.0548460118445999E-3</v>
      </c>
    </row>
    <row r="294" spans="1:13" x14ac:dyDescent="0.3">
      <c r="A294">
        <v>1120</v>
      </c>
      <c r="B294" s="1">
        <v>45046</v>
      </c>
      <c r="C294" t="s">
        <v>44</v>
      </c>
      <c r="D294" t="s">
        <v>25</v>
      </c>
      <c r="E294" t="s">
        <v>15</v>
      </c>
      <c r="F294">
        <v>2978.52</v>
      </c>
      <c r="G294">
        <v>803.04</v>
      </c>
      <c r="H294">
        <v>6</v>
      </c>
      <c r="I294">
        <v>2023</v>
      </c>
      <c r="J294">
        <v>4</v>
      </c>
      <c r="K294" t="s">
        <v>34</v>
      </c>
      <c r="L294" t="s">
        <v>27</v>
      </c>
      <c r="M294" s="6">
        <v>0.269610410539463</v>
      </c>
    </row>
    <row r="295" spans="1:13" x14ac:dyDescent="0.3">
      <c r="A295">
        <v>1123</v>
      </c>
      <c r="B295" s="1">
        <v>45049</v>
      </c>
      <c r="C295" t="s">
        <v>44</v>
      </c>
      <c r="D295" t="s">
        <v>25</v>
      </c>
      <c r="E295" t="s">
        <v>22</v>
      </c>
      <c r="F295">
        <v>2685.47</v>
      </c>
      <c r="G295">
        <v>366.49</v>
      </c>
      <c r="H295">
        <v>8</v>
      </c>
      <c r="I295">
        <v>2023</v>
      </c>
      <c r="J295">
        <v>5</v>
      </c>
      <c r="K295" t="s">
        <v>35</v>
      </c>
      <c r="L295" t="s">
        <v>30</v>
      </c>
      <c r="M295" s="6">
        <v>0.13647145564836</v>
      </c>
    </row>
    <row r="296" spans="1:13" x14ac:dyDescent="0.3">
      <c r="A296">
        <v>1130</v>
      </c>
      <c r="B296" s="1">
        <v>45056</v>
      </c>
      <c r="C296" t="s">
        <v>44</v>
      </c>
      <c r="D296" t="s">
        <v>28</v>
      </c>
      <c r="E296" t="s">
        <v>29</v>
      </c>
      <c r="F296">
        <v>469.97</v>
      </c>
      <c r="G296">
        <v>943.78</v>
      </c>
      <c r="H296">
        <v>6</v>
      </c>
      <c r="I296">
        <v>2023</v>
      </c>
      <c r="J296">
        <v>5</v>
      </c>
      <c r="K296" t="s">
        <v>35</v>
      </c>
      <c r="L296" t="s">
        <v>30</v>
      </c>
      <c r="M296" s="6">
        <v>2.00817073430219</v>
      </c>
    </row>
    <row r="297" spans="1:13" x14ac:dyDescent="0.3">
      <c r="A297">
        <v>1134</v>
      </c>
      <c r="B297" s="1">
        <v>45060</v>
      </c>
      <c r="C297" t="s">
        <v>44</v>
      </c>
      <c r="D297" t="s">
        <v>24</v>
      </c>
      <c r="E297" t="s">
        <v>22</v>
      </c>
      <c r="F297">
        <v>2680.23</v>
      </c>
      <c r="G297">
        <v>1315.64</v>
      </c>
      <c r="H297">
        <v>1</v>
      </c>
      <c r="I297">
        <v>2023</v>
      </c>
      <c r="J297">
        <v>5</v>
      </c>
      <c r="K297" t="s">
        <v>35</v>
      </c>
      <c r="L297" t="s">
        <v>27</v>
      </c>
      <c r="M297" s="6">
        <v>0.49086832100230199</v>
      </c>
    </row>
    <row r="298" spans="1:13" x14ac:dyDescent="0.3">
      <c r="A298">
        <v>1137</v>
      </c>
      <c r="B298" s="1">
        <v>45063</v>
      </c>
      <c r="C298" t="s">
        <v>44</v>
      </c>
      <c r="D298" t="s">
        <v>18</v>
      </c>
      <c r="E298" t="s">
        <v>29</v>
      </c>
      <c r="F298">
        <v>4214.97</v>
      </c>
      <c r="G298">
        <v>-208.16</v>
      </c>
      <c r="H298">
        <v>4</v>
      </c>
      <c r="I298">
        <v>2023</v>
      </c>
      <c r="J298">
        <v>5</v>
      </c>
      <c r="K298" t="s">
        <v>35</v>
      </c>
      <c r="L298" t="s">
        <v>30</v>
      </c>
      <c r="M298" s="6">
        <v>-4.93858793775519E-2</v>
      </c>
    </row>
    <row r="299" spans="1:13" x14ac:dyDescent="0.3">
      <c r="A299">
        <v>1143</v>
      </c>
      <c r="B299" s="1">
        <v>45069</v>
      </c>
      <c r="C299" t="s">
        <v>44</v>
      </c>
      <c r="D299" t="s">
        <v>14</v>
      </c>
      <c r="E299" t="s">
        <v>22</v>
      </c>
      <c r="F299">
        <v>2576.9899999999998</v>
      </c>
      <c r="G299">
        <v>192.03</v>
      </c>
      <c r="H299">
        <v>2</v>
      </c>
      <c r="I299">
        <v>2023</v>
      </c>
      <c r="J299">
        <v>5</v>
      </c>
      <c r="K299" t="s">
        <v>35</v>
      </c>
      <c r="L299" t="s">
        <v>32</v>
      </c>
      <c r="M299" s="6">
        <v>7.4517169255604407E-2</v>
      </c>
    </row>
    <row r="300" spans="1:13" x14ac:dyDescent="0.3">
      <c r="A300">
        <v>1144</v>
      </c>
      <c r="B300" s="1">
        <v>45070</v>
      </c>
      <c r="C300" t="s">
        <v>44</v>
      </c>
      <c r="D300" t="s">
        <v>14</v>
      </c>
      <c r="E300" t="s">
        <v>29</v>
      </c>
      <c r="F300">
        <v>3015.74</v>
      </c>
      <c r="G300">
        <v>1051.6099999999999</v>
      </c>
      <c r="H300">
        <v>9</v>
      </c>
      <c r="I300">
        <v>2023</v>
      </c>
      <c r="J300">
        <v>5</v>
      </c>
      <c r="K300" t="s">
        <v>35</v>
      </c>
      <c r="L300" t="s">
        <v>30</v>
      </c>
      <c r="M300" s="6">
        <v>0.34870711666125098</v>
      </c>
    </row>
    <row r="301" spans="1:13" x14ac:dyDescent="0.3">
      <c r="A301">
        <v>1151</v>
      </c>
      <c r="B301" s="1">
        <v>45077</v>
      </c>
      <c r="C301" t="s">
        <v>44</v>
      </c>
      <c r="D301" t="s">
        <v>14</v>
      </c>
      <c r="E301" t="s">
        <v>15</v>
      </c>
      <c r="F301">
        <v>4944.7700000000004</v>
      </c>
      <c r="G301">
        <v>215.6</v>
      </c>
      <c r="H301">
        <v>4</v>
      </c>
      <c r="I301">
        <v>2023</v>
      </c>
      <c r="J301">
        <v>5</v>
      </c>
      <c r="K301" t="s">
        <v>35</v>
      </c>
      <c r="L301" t="s">
        <v>30</v>
      </c>
      <c r="M301" s="6">
        <v>4.3601623533551598E-2</v>
      </c>
    </row>
    <row r="302" spans="1:13" x14ac:dyDescent="0.3">
      <c r="A302">
        <v>1163</v>
      </c>
      <c r="B302" s="1">
        <v>45089</v>
      </c>
      <c r="C302" t="s">
        <v>44</v>
      </c>
      <c r="D302" t="s">
        <v>14</v>
      </c>
      <c r="E302" t="s">
        <v>19</v>
      </c>
      <c r="F302">
        <v>701.61</v>
      </c>
      <c r="G302">
        <v>733.21</v>
      </c>
      <c r="H302">
        <v>6</v>
      </c>
      <c r="I302">
        <v>2023</v>
      </c>
      <c r="J302">
        <v>6</v>
      </c>
      <c r="K302" t="s">
        <v>36</v>
      </c>
      <c r="L302" t="s">
        <v>17</v>
      </c>
      <c r="M302" s="6">
        <v>1.0450392668291499</v>
      </c>
    </row>
    <row r="303" spans="1:13" x14ac:dyDescent="0.3">
      <c r="A303">
        <v>1164</v>
      </c>
      <c r="B303" s="1">
        <v>45090</v>
      </c>
      <c r="C303" t="s">
        <v>44</v>
      </c>
      <c r="D303" t="s">
        <v>25</v>
      </c>
      <c r="E303" t="s">
        <v>15</v>
      </c>
      <c r="F303">
        <v>4394.58</v>
      </c>
      <c r="G303">
        <v>725.89</v>
      </c>
      <c r="H303">
        <v>2</v>
      </c>
      <c r="I303">
        <v>2023</v>
      </c>
      <c r="J303">
        <v>6</v>
      </c>
      <c r="K303" t="s">
        <v>36</v>
      </c>
      <c r="L303" t="s">
        <v>32</v>
      </c>
      <c r="M303" s="6">
        <v>0.16517846984239701</v>
      </c>
    </row>
    <row r="304" spans="1:13" x14ac:dyDescent="0.3">
      <c r="A304">
        <v>1165</v>
      </c>
      <c r="B304" s="1">
        <v>45091</v>
      </c>
      <c r="C304" t="s">
        <v>44</v>
      </c>
      <c r="D304" t="s">
        <v>21</v>
      </c>
      <c r="E304" t="s">
        <v>15</v>
      </c>
      <c r="F304">
        <v>3250.34</v>
      </c>
      <c r="G304">
        <v>97.67</v>
      </c>
      <c r="H304">
        <v>3</v>
      </c>
      <c r="I304">
        <v>2023</v>
      </c>
      <c r="J304">
        <v>6</v>
      </c>
      <c r="K304" t="s">
        <v>36</v>
      </c>
      <c r="L304" t="s">
        <v>30</v>
      </c>
      <c r="M304" s="6">
        <v>3.0049164087449301E-2</v>
      </c>
    </row>
    <row r="305" spans="1:13" x14ac:dyDescent="0.3">
      <c r="A305">
        <v>1167</v>
      </c>
      <c r="B305" s="1">
        <v>45093</v>
      </c>
      <c r="C305" t="s">
        <v>44</v>
      </c>
      <c r="D305" t="s">
        <v>21</v>
      </c>
      <c r="E305" t="s">
        <v>19</v>
      </c>
      <c r="F305">
        <v>4562.0600000000004</v>
      </c>
      <c r="G305">
        <v>1394.7</v>
      </c>
      <c r="H305">
        <v>6</v>
      </c>
      <c r="I305">
        <v>2023</v>
      </c>
      <c r="J305">
        <v>6</v>
      </c>
      <c r="K305" t="s">
        <v>36</v>
      </c>
      <c r="L305" t="s">
        <v>23</v>
      </c>
      <c r="M305" s="6">
        <v>0.30571715409266897</v>
      </c>
    </row>
    <row r="306" spans="1:13" x14ac:dyDescent="0.3">
      <c r="A306">
        <v>1170</v>
      </c>
      <c r="B306" s="1">
        <v>45096</v>
      </c>
      <c r="C306" t="s">
        <v>44</v>
      </c>
      <c r="D306" t="s">
        <v>14</v>
      </c>
      <c r="E306" t="s">
        <v>22</v>
      </c>
      <c r="F306">
        <v>4143.03</v>
      </c>
      <c r="G306">
        <v>724.52</v>
      </c>
      <c r="H306">
        <v>4</v>
      </c>
      <c r="I306">
        <v>2023</v>
      </c>
      <c r="J306">
        <v>6</v>
      </c>
      <c r="K306" t="s">
        <v>36</v>
      </c>
      <c r="L306" t="s">
        <v>17</v>
      </c>
      <c r="M306" s="6">
        <v>0.17487684134558501</v>
      </c>
    </row>
    <row r="307" spans="1:13" x14ac:dyDescent="0.3">
      <c r="A307">
        <v>1171</v>
      </c>
      <c r="B307" s="1">
        <v>45097</v>
      </c>
      <c r="C307" t="s">
        <v>44</v>
      </c>
      <c r="D307" t="s">
        <v>21</v>
      </c>
      <c r="E307" t="s">
        <v>19</v>
      </c>
      <c r="F307">
        <v>1878.99</v>
      </c>
      <c r="G307">
        <v>468.8</v>
      </c>
      <c r="H307">
        <v>9</v>
      </c>
      <c r="I307">
        <v>2023</v>
      </c>
      <c r="J307">
        <v>6</v>
      </c>
      <c r="K307" t="s">
        <v>36</v>
      </c>
      <c r="L307" t="s">
        <v>32</v>
      </c>
      <c r="M307" s="6">
        <v>0.24949573973251599</v>
      </c>
    </row>
    <row r="308" spans="1:13" x14ac:dyDescent="0.3">
      <c r="A308">
        <v>1172</v>
      </c>
      <c r="B308" s="1">
        <v>45098</v>
      </c>
      <c r="C308" t="s">
        <v>44</v>
      </c>
      <c r="D308" t="s">
        <v>24</v>
      </c>
      <c r="E308" t="s">
        <v>15</v>
      </c>
      <c r="F308">
        <v>267.72000000000003</v>
      </c>
      <c r="G308">
        <v>821.64</v>
      </c>
      <c r="H308">
        <v>5</v>
      </c>
      <c r="I308">
        <v>2023</v>
      </c>
      <c r="J308">
        <v>6</v>
      </c>
      <c r="K308" t="s">
        <v>36</v>
      </c>
      <c r="L308" t="s">
        <v>30</v>
      </c>
      <c r="M308" s="6">
        <v>3.0690273419990999</v>
      </c>
    </row>
    <row r="309" spans="1:13" x14ac:dyDescent="0.3">
      <c r="A309">
        <v>1174</v>
      </c>
      <c r="B309" s="1">
        <v>45100</v>
      </c>
      <c r="C309" t="s">
        <v>44</v>
      </c>
      <c r="D309" t="s">
        <v>28</v>
      </c>
      <c r="E309" t="s">
        <v>19</v>
      </c>
      <c r="F309">
        <v>1791.44</v>
      </c>
      <c r="G309">
        <v>694.95</v>
      </c>
      <c r="H309">
        <v>2</v>
      </c>
      <c r="I309">
        <v>2023</v>
      </c>
      <c r="J309">
        <v>6</v>
      </c>
      <c r="K309" t="s">
        <v>36</v>
      </c>
      <c r="L309" t="s">
        <v>23</v>
      </c>
      <c r="M309" s="6">
        <v>0.38792814718885399</v>
      </c>
    </row>
    <row r="310" spans="1:13" x14ac:dyDescent="0.3">
      <c r="A310">
        <v>1178</v>
      </c>
      <c r="B310" s="1">
        <v>45104</v>
      </c>
      <c r="C310" t="s">
        <v>44</v>
      </c>
      <c r="D310" t="s">
        <v>18</v>
      </c>
      <c r="E310" t="s">
        <v>22</v>
      </c>
      <c r="F310">
        <v>1175.5999999999999</v>
      </c>
      <c r="G310">
        <v>-172</v>
      </c>
      <c r="H310">
        <v>4</v>
      </c>
      <c r="I310">
        <v>2023</v>
      </c>
      <c r="J310">
        <v>6</v>
      </c>
      <c r="K310" t="s">
        <v>36</v>
      </c>
      <c r="L310" t="s">
        <v>32</v>
      </c>
      <c r="M310" s="6">
        <v>-0.146308268118408</v>
      </c>
    </row>
    <row r="311" spans="1:13" x14ac:dyDescent="0.3">
      <c r="A311">
        <v>1183</v>
      </c>
      <c r="B311" s="1">
        <v>45109</v>
      </c>
      <c r="C311" t="s">
        <v>44</v>
      </c>
      <c r="D311" t="s">
        <v>24</v>
      </c>
      <c r="E311" t="s">
        <v>15</v>
      </c>
      <c r="F311">
        <v>4928.3</v>
      </c>
      <c r="G311">
        <v>458.56</v>
      </c>
      <c r="H311">
        <v>6</v>
      </c>
      <c r="I311">
        <v>2023</v>
      </c>
      <c r="J311">
        <v>7</v>
      </c>
      <c r="K311" t="s">
        <v>37</v>
      </c>
      <c r="L311" t="s">
        <v>27</v>
      </c>
      <c r="M311" s="6">
        <v>9.30462837083781E-2</v>
      </c>
    </row>
    <row r="312" spans="1:13" x14ac:dyDescent="0.3">
      <c r="A312">
        <v>1189</v>
      </c>
      <c r="B312" s="1">
        <v>45115</v>
      </c>
      <c r="C312" t="s">
        <v>44</v>
      </c>
      <c r="D312" t="s">
        <v>18</v>
      </c>
      <c r="E312" t="s">
        <v>19</v>
      </c>
      <c r="F312">
        <v>3524.34</v>
      </c>
      <c r="G312">
        <v>367.31</v>
      </c>
      <c r="H312">
        <v>3</v>
      </c>
      <c r="I312">
        <v>2023</v>
      </c>
      <c r="J312">
        <v>7</v>
      </c>
      <c r="K312" t="s">
        <v>37</v>
      </c>
      <c r="L312" t="s">
        <v>26</v>
      </c>
      <c r="M312" s="6">
        <v>0.104220932146161</v>
      </c>
    </row>
    <row r="313" spans="1:13" x14ac:dyDescent="0.3">
      <c r="A313">
        <v>1192</v>
      </c>
      <c r="B313" s="1">
        <v>45118</v>
      </c>
      <c r="C313" t="s">
        <v>44</v>
      </c>
      <c r="D313" t="s">
        <v>28</v>
      </c>
      <c r="E313" t="s">
        <v>22</v>
      </c>
      <c r="F313">
        <v>3260.77</v>
      </c>
      <c r="G313">
        <v>-458.28</v>
      </c>
      <c r="H313">
        <v>6</v>
      </c>
      <c r="I313">
        <v>2023</v>
      </c>
      <c r="J313">
        <v>7</v>
      </c>
      <c r="K313" t="s">
        <v>37</v>
      </c>
      <c r="L313" t="s">
        <v>32</v>
      </c>
      <c r="M313" s="6">
        <v>-0.140543491261266</v>
      </c>
    </row>
    <row r="314" spans="1:13" x14ac:dyDescent="0.3">
      <c r="A314">
        <v>1196</v>
      </c>
      <c r="B314" s="1">
        <v>45122</v>
      </c>
      <c r="C314" t="s">
        <v>44</v>
      </c>
      <c r="D314" t="s">
        <v>28</v>
      </c>
      <c r="E314" t="s">
        <v>15</v>
      </c>
      <c r="F314">
        <v>3486.99</v>
      </c>
      <c r="G314">
        <v>486.55</v>
      </c>
      <c r="H314">
        <v>8</v>
      </c>
      <c r="I314">
        <v>2023</v>
      </c>
      <c r="J314">
        <v>7</v>
      </c>
      <c r="K314" t="s">
        <v>37</v>
      </c>
      <c r="L314" t="s">
        <v>26</v>
      </c>
      <c r="M314" s="6">
        <v>0.139532949621307</v>
      </c>
    </row>
    <row r="315" spans="1:13" x14ac:dyDescent="0.3">
      <c r="A315">
        <v>1199</v>
      </c>
      <c r="B315" s="1">
        <v>45125</v>
      </c>
      <c r="C315" t="s">
        <v>44</v>
      </c>
      <c r="D315" t="s">
        <v>24</v>
      </c>
      <c r="E315" t="s">
        <v>15</v>
      </c>
      <c r="F315">
        <v>2695.34</v>
      </c>
      <c r="G315">
        <v>-58.88</v>
      </c>
      <c r="H315">
        <v>4</v>
      </c>
      <c r="I315">
        <v>2023</v>
      </c>
      <c r="J315">
        <v>7</v>
      </c>
      <c r="K315" t="s">
        <v>37</v>
      </c>
      <c r="L315" t="s">
        <v>32</v>
      </c>
      <c r="M315" s="6">
        <v>-2.18451104498876E-2</v>
      </c>
    </row>
    <row r="316" spans="1:13" x14ac:dyDescent="0.3">
      <c r="A316">
        <v>1202</v>
      </c>
      <c r="B316" s="1">
        <v>45128</v>
      </c>
      <c r="C316" t="s">
        <v>44</v>
      </c>
      <c r="D316" t="s">
        <v>14</v>
      </c>
      <c r="E316" t="s">
        <v>22</v>
      </c>
      <c r="F316">
        <v>429.16</v>
      </c>
      <c r="G316">
        <v>1180.9000000000001</v>
      </c>
      <c r="H316">
        <v>4</v>
      </c>
      <c r="I316">
        <v>2023</v>
      </c>
      <c r="J316">
        <v>7</v>
      </c>
      <c r="K316" t="s">
        <v>37</v>
      </c>
      <c r="L316" t="s">
        <v>23</v>
      </c>
      <c r="M316" s="6">
        <v>2.7516543946313701</v>
      </c>
    </row>
    <row r="317" spans="1:13" x14ac:dyDescent="0.3">
      <c r="A317">
        <v>1204</v>
      </c>
      <c r="B317" s="1">
        <v>45130</v>
      </c>
      <c r="C317" t="s">
        <v>44</v>
      </c>
      <c r="D317" t="s">
        <v>25</v>
      </c>
      <c r="E317" t="s">
        <v>29</v>
      </c>
      <c r="F317">
        <v>2537.58</v>
      </c>
      <c r="G317">
        <v>1421.56</v>
      </c>
      <c r="H317">
        <v>6</v>
      </c>
      <c r="I317">
        <v>2023</v>
      </c>
      <c r="J317">
        <v>7</v>
      </c>
      <c r="K317" t="s">
        <v>37</v>
      </c>
      <c r="L317" t="s">
        <v>27</v>
      </c>
      <c r="M317" s="6">
        <v>0.56020302808187294</v>
      </c>
    </row>
    <row r="318" spans="1:13" x14ac:dyDescent="0.3">
      <c r="A318">
        <v>1205</v>
      </c>
      <c r="B318" s="1">
        <v>45131</v>
      </c>
      <c r="C318" t="s">
        <v>44</v>
      </c>
      <c r="D318" t="s">
        <v>18</v>
      </c>
      <c r="E318" t="s">
        <v>29</v>
      </c>
      <c r="F318">
        <v>3628.99</v>
      </c>
      <c r="G318">
        <v>331.81</v>
      </c>
      <c r="H318">
        <v>2</v>
      </c>
      <c r="I318">
        <v>2023</v>
      </c>
      <c r="J318">
        <v>7</v>
      </c>
      <c r="K318" t="s">
        <v>37</v>
      </c>
      <c r="L318" t="s">
        <v>17</v>
      </c>
      <c r="M318" s="6">
        <v>9.1433153577166096E-2</v>
      </c>
    </row>
    <row r="319" spans="1:13" x14ac:dyDescent="0.3">
      <c r="A319">
        <v>1207</v>
      </c>
      <c r="B319" s="1">
        <v>45133</v>
      </c>
      <c r="C319" t="s">
        <v>44</v>
      </c>
      <c r="D319" t="s">
        <v>21</v>
      </c>
      <c r="E319" t="s">
        <v>22</v>
      </c>
      <c r="F319">
        <v>786.09</v>
      </c>
      <c r="G319">
        <v>757.53</v>
      </c>
      <c r="H319">
        <v>3</v>
      </c>
      <c r="I319">
        <v>2023</v>
      </c>
      <c r="J319">
        <v>7</v>
      </c>
      <c r="K319" t="s">
        <v>37</v>
      </c>
      <c r="L319" t="s">
        <v>30</v>
      </c>
      <c r="M319" s="6">
        <v>0.96366828225775603</v>
      </c>
    </row>
    <row r="320" spans="1:13" x14ac:dyDescent="0.3">
      <c r="A320">
        <v>1215</v>
      </c>
      <c r="B320" s="1">
        <v>45141</v>
      </c>
      <c r="C320" t="s">
        <v>44</v>
      </c>
      <c r="D320" t="s">
        <v>25</v>
      </c>
      <c r="E320" t="s">
        <v>29</v>
      </c>
      <c r="F320">
        <v>4206.72</v>
      </c>
      <c r="G320">
        <v>291.02999999999997</v>
      </c>
      <c r="H320">
        <v>8</v>
      </c>
      <c r="I320">
        <v>2023</v>
      </c>
      <c r="J320">
        <v>8</v>
      </c>
      <c r="K320" t="s">
        <v>38</v>
      </c>
      <c r="L320" t="s">
        <v>20</v>
      </c>
      <c r="M320" s="6">
        <v>6.9182165677772703E-2</v>
      </c>
    </row>
    <row r="321" spans="1:13" x14ac:dyDescent="0.3">
      <c r="A321">
        <v>1216</v>
      </c>
      <c r="B321" s="1">
        <v>45142</v>
      </c>
      <c r="C321" t="s">
        <v>44</v>
      </c>
      <c r="D321" t="s">
        <v>14</v>
      </c>
      <c r="E321" t="s">
        <v>19</v>
      </c>
      <c r="F321">
        <v>2081.4699999999998</v>
      </c>
      <c r="G321">
        <v>712.38</v>
      </c>
      <c r="H321">
        <v>9</v>
      </c>
      <c r="I321">
        <v>2023</v>
      </c>
      <c r="J321">
        <v>8</v>
      </c>
      <c r="K321" t="s">
        <v>38</v>
      </c>
      <c r="L321" t="s">
        <v>23</v>
      </c>
      <c r="M321" s="6">
        <v>0.34224850706471899</v>
      </c>
    </row>
    <row r="322" spans="1:13" x14ac:dyDescent="0.3">
      <c r="A322">
        <v>1217</v>
      </c>
      <c r="B322" s="1">
        <v>45143</v>
      </c>
      <c r="C322" t="s">
        <v>44</v>
      </c>
      <c r="D322" t="s">
        <v>14</v>
      </c>
      <c r="E322" t="s">
        <v>22</v>
      </c>
      <c r="F322">
        <v>3877.47</v>
      </c>
      <c r="G322">
        <v>695.45</v>
      </c>
      <c r="H322">
        <v>7</v>
      </c>
      <c r="I322">
        <v>2023</v>
      </c>
      <c r="J322">
        <v>8</v>
      </c>
      <c r="K322" t="s">
        <v>38</v>
      </c>
      <c r="L322" t="s">
        <v>26</v>
      </c>
      <c r="M322" s="6">
        <v>0.179356642346685</v>
      </c>
    </row>
    <row r="323" spans="1:13" x14ac:dyDescent="0.3">
      <c r="A323">
        <v>1223</v>
      </c>
      <c r="B323" s="1">
        <v>45149</v>
      </c>
      <c r="C323" t="s">
        <v>44</v>
      </c>
      <c r="D323" t="s">
        <v>18</v>
      </c>
      <c r="E323" t="s">
        <v>19</v>
      </c>
      <c r="F323">
        <v>3877.83</v>
      </c>
      <c r="G323">
        <v>267.69</v>
      </c>
      <c r="H323">
        <v>3</v>
      </c>
      <c r="I323">
        <v>2023</v>
      </c>
      <c r="J323">
        <v>8</v>
      </c>
      <c r="K323" t="s">
        <v>38</v>
      </c>
      <c r="L323" t="s">
        <v>23</v>
      </c>
      <c r="M323" s="6">
        <v>6.9030875515429996E-2</v>
      </c>
    </row>
    <row r="324" spans="1:13" x14ac:dyDescent="0.3">
      <c r="A324">
        <v>1224</v>
      </c>
      <c r="B324" s="1">
        <v>45150</v>
      </c>
      <c r="C324" t="s">
        <v>44</v>
      </c>
      <c r="D324" t="s">
        <v>18</v>
      </c>
      <c r="E324" t="s">
        <v>15</v>
      </c>
      <c r="F324">
        <v>434.42</v>
      </c>
      <c r="G324">
        <v>431.63</v>
      </c>
      <c r="H324">
        <v>7</v>
      </c>
      <c r="I324">
        <v>2023</v>
      </c>
      <c r="J324">
        <v>8</v>
      </c>
      <c r="K324" t="s">
        <v>38</v>
      </c>
      <c r="L324" t="s">
        <v>26</v>
      </c>
      <c r="M324" s="6">
        <v>0.99357764375489199</v>
      </c>
    </row>
    <row r="325" spans="1:13" x14ac:dyDescent="0.3">
      <c r="A325">
        <v>1226</v>
      </c>
      <c r="B325" s="1">
        <v>45152</v>
      </c>
      <c r="C325" t="s">
        <v>44</v>
      </c>
      <c r="D325" t="s">
        <v>28</v>
      </c>
      <c r="E325" t="s">
        <v>22</v>
      </c>
      <c r="F325">
        <v>2242.25</v>
      </c>
      <c r="G325">
        <v>-28.42</v>
      </c>
      <c r="H325">
        <v>4</v>
      </c>
      <c r="I325">
        <v>2023</v>
      </c>
      <c r="J325">
        <v>8</v>
      </c>
      <c r="K325" t="s">
        <v>38</v>
      </c>
      <c r="L325" t="s">
        <v>17</v>
      </c>
      <c r="M325" s="6">
        <v>-1.2674768647563801E-2</v>
      </c>
    </row>
    <row r="326" spans="1:13" x14ac:dyDescent="0.3">
      <c r="A326">
        <v>1227</v>
      </c>
      <c r="B326" s="1">
        <v>45153</v>
      </c>
      <c r="C326" t="s">
        <v>44</v>
      </c>
      <c r="D326" t="s">
        <v>21</v>
      </c>
      <c r="E326" t="s">
        <v>15</v>
      </c>
      <c r="F326">
        <v>4586.0200000000004</v>
      </c>
      <c r="G326">
        <v>1052</v>
      </c>
      <c r="H326">
        <v>4</v>
      </c>
      <c r="I326">
        <v>2023</v>
      </c>
      <c r="J326">
        <v>8</v>
      </c>
      <c r="K326" t="s">
        <v>38</v>
      </c>
      <c r="L326" t="s">
        <v>32</v>
      </c>
      <c r="M326" s="6">
        <v>0.22939280683468499</v>
      </c>
    </row>
    <row r="327" spans="1:13" x14ac:dyDescent="0.3">
      <c r="A327">
        <v>1234</v>
      </c>
      <c r="B327" s="1">
        <v>45160</v>
      </c>
      <c r="C327" t="s">
        <v>44</v>
      </c>
      <c r="D327" t="s">
        <v>24</v>
      </c>
      <c r="E327" t="s">
        <v>29</v>
      </c>
      <c r="F327">
        <v>2470.4</v>
      </c>
      <c r="G327">
        <v>-361.73</v>
      </c>
      <c r="H327">
        <v>4</v>
      </c>
      <c r="I327">
        <v>2023</v>
      </c>
      <c r="J327">
        <v>8</v>
      </c>
      <c r="K327" t="s">
        <v>38</v>
      </c>
      <c r="L327" t="s">
        <v>32</v>
      </c>
      <c r="M327" s="6">
        <v>-0.146425680051813</v>
      </c>
    </row>
    <row r="328" spans="1:13" x14ac:dyDescent="0.3">
      <c r="A328">
        <v>1236</v>
      </c>
      <c r="B328" s="1">
        <v>45162</v>
      </c>
      <c r="C328" t="s">
        <v>44</v>
      </c>
      <c r="D328" t="s">
        <v>14</v>
      </c>
      <c r="E328" t="s">
        <v>22</v>
      </c>
      <c r="F328">
        <v>2745.23</v>
      </c>
      <c r="G328">
        <v>-305.20999999999998</v>
      </c>
      <c r="H328">
        <v>6</v>
      </c>
      <c r="I328">
        <v>2023</v>
      </c>
      <c r="J328">
        <v>8</v>
      </c>
      <c r="K328" t="s">
        <v>38</v>
      </c>
      <c r="L328" t="s">
        <v>20</v>
      </c>
      <c r="M328" s="6">
        <v>-0.111178298357515</v>
      </c>
    </row>
    <row r="329" spans="1:13" x14ac:dyDescent="0.3">
      <c r="A329">
        <v>1237</v>
      </c>
      <c r="B329" s="1">
        <v>45163</v>
      </c>
      <c r="C329" t="s">
        <v>44</v>
      </c>
      <c r="D329" t="s">
        <v>21</v>
      </c>
      <c r="E329" t="s">
        <v>19</v>
      </c>
      <c r="F329">
        <v>893.87</v>
      </c>
      <c r="G329">
        <v>310.04000000000002</v>
      </c>
      <c r="H329">
        <v>7</v>
      </c>
      <c r="I329">
        <v>2023</v>
      </c>
      <c r="J329">
        <v>8</v>
      </c>
      <c r="K329" t="s">
        <v>38</v>
      </c>
      <c r="L329" t="s">
        <v>23</v>
      </c>
      <c r="M329" s="6">
        <v>0.34685133184915001</v>
      </c>
    </row>
    <row r="330" spans="1:13" x14ac:dyDescent="0.3">
      <c r="A330">
        <v>1238</v>
      </c>
      <c r="B330" s="1">
        <v>45164</v>
      </c>
      <c r="C330" t="s">
        <v>44</v>
      </c>
      <c r="D330" t="s">
        <v>14</v>
      </c>
      <c r="E330" t="s">
        <v>22</v>
      </c>
      <c r="F330">
        <v>4223.5</v>
      </c>
      <c r="G330">
        <v>685.84</v>
      </c>
      <c r="H330">
        <v>2</v>
      </c>
      <c r="I330">
        <v>2023</v>
      </c>
      <c r="J330">
        <v>8</v>
      </c>
      <c r="K330" t="s">
        <v>38</v>
      </c>
      <c r="L330" t="s">
        <v>26</v>
      </c>
      <c r="M330" s="6">
        <v>0.16238664614656101</v>
      </c>
    </row>
    <row r="331" spans="1:13" x14ac:dyDescent="0.3">
      <c r="A331">
        <v>1244</v>
      </c>
      <c r="B331" s="1">
        <v>45170</v>
      </c>
      <c r="C331" t="s">
        <v>44</v>
      </c>
      <c r="D331" t="s">
        <v>25</v>
      </c>
      <c r="E331" t="s">
        <v>29</v>
      </c>
      <c r="F331">
        <v>1787.48</v>
      </c>
      <c r="G331">
        <v>298.08999999999997</v>
      </c>
      <c r="H331">
        <v>7</v>
      </c>
      <c r="I331">
        <v>2023</v>
      </c>
      <c r="J331">
        <v>9</v>
      </c>
      <c r="K331" t="s">
        <v>39</v>
      </c>
      <c r="L331" t="s">
        <v>23</v>
      </c>
      <c r="M331" s="6">
        <v>0.166765502271354</v>
      </c>
    </row>
    <row r="332" spans="1:13" x14ac:dyDescent="0.3">
      <c r="A332">
        <v>1249</v>
      </c>
      <c r="B332" s="1">
        <v>45175</v>
      </c>
      <c r="C332" t="s">
        <v>44</v>
      </c>
      <c r="D332" t="s">
        <v>24</v>
      </c>
      <c r="E332" t="s">
        <v>29</v>
      </c>
      <c r="F332">
        <v>2352.44</v>
      </c>
      <c r="G332">
        <v>293.32</v>
      </c>
      <c r="H332">
        <v>2</v>
      </c>
      <c r="I332">
        <v>2023</v>
      </c>
      <c r="J332">
        <v>9</v>
      </c>
      <c r="K332" t="s">
        <v>39</v>
      </c>
      <c r="L332" t="s">
        <v>30</v>
      </c>
      <c r="M332" s="6">
        <v>0.12468755844995</v>
      </c>
    </row>
    <row r="333" spans="1:13" x14ac:dyDescent="0.3">
      <c r="A333">
        <v>1257</v>
      </c>
      <c r="B333" s="1">
        <v>45183</v>
      </c>
      <c r="C333" t="s">
        <v>44</v>
      </c>
      <c r="D333" t="s">
        <v>28</v>
      </c>
      <c r="E333" t="s">
        <v>22</v>
      </c>
      <c r="F333">
        <v>4056.41</v>
      </c>
      <c r="G333">
        <v>-208.49</v>
      </c>
      <c r="H333">
        <v>5</v>
      </c>
      <c r="I333">
        <v>2023</v>
      </c>
      <c r="J333">
        <v>9</v>
      </c>
      <c r="K333" t="s">
        <v>39</v>
      </c>
      <c r="L333" t="s">
        <v>20</v>
      </c>
      <c r="M333" s="6">
        <v>-5.1397664437273401E-2</v>
      </c>
    </row>
    <row r="334" spans="1:13" x14ac:dyDescent="0.3">
      <c r="A334">
        <v>1262</v>
      </c>
      <c r="B334" s="1">
        <v>45188</v>
      </c>
      <c r="C334" t="s">
        <v>44</v>
      </c>
      <c r="D334" t="s">
        <v>18</v>
      </c>
      <c r="E334" t="s">
        <v>15</v>
      </c>
      <c r="F334">
        <v>524.86</v>
      </c>
      <c r="G334">
        <v>218.5</v>
      </c>
      <c r="H334">
        <v>5</v>
      </c>
      <c r="I334">
        <v>2023</v>
      </c>
      <c r="J334">
        <v>9</v>
      </c>
      <c r="K334" t="s">
        <v>39</v>
      </c>
      <c r="L334" t="s">
        <v>32</v>
      </c>
      <c r="M334" s="6">
        <v>0.41630148992112198</v>
      </c>
    </row>
    <row r="335" spans="1:13" x14ac:dyDescent="0.3">
      <c r="A335">
        <v>1265</v>
      </c>
      <c r="B335" s="1">
        <v>45191</v>
      </c>
      <c r="C335" t="s">
        <v>44</v>
      </c>
      <c r="D335" t="s">
        <v>18</v>
      </c>
      <c r="E335" t="s">
        <v>29</v>
      </c>
      <c r="F335">
        <v>3230.85</v>
      </c>
      <c r="G335">
        <v>213.46</v>
      </c>
      <c r="H335">
        <v>4</v>
      </c>
      <c r="I335">
        <v>2023</v>
      </c>
      <c r="J335">
        <v>9</v>
      </c>
      <c r="K335" t="s">
        <v>39</v>
      </c>
      <c r="L335" t="s">
        <v>23</v>
      </c>
      <c r="M335" s="6">
        <v>6.6069300648436205E-2</v>
      </c>
    </row>
    <row r="336" spans="1:13" x14ac:dyDescent="0.3">
      <c r="A336">
        <v>1266</v>
      </c>
      <c r="B336" s="1">
        <v>45192</v>
      </c>
      <c r="C336" t="s">
        <v>44</v>
      </c>
      <c r="D336" t="s">
        <v>24</v>
      </c>
      <c r="E336" t="s">
        <v>15</v>
      </c>
      <c r="F336">
        <v>3819.28</v>
      </c>
      <c r="G336">
        <v>567.02</v>
      </c>
      <c r="H336">
        <v>1</v>
      </c>
      <c r="I336">
        <v>2023</v>
      </c>
      <c r="J336">
        <v>9</v>
      </c>
      <c r="K336" t="s">
        <v>39</v>
      </c>
      <c r="L336" t="s">
        <v>26</v>
      </c>
      <c r="M336" s="6">
        <v>0.148462537441612</v>
      </c>
    </row>
    <row r="337" spans="1:13" x14ac:dyDescent="0.3">
      <c r="A337">
        <v>1269</v>
      </c>
      <c r="B337" s="1">
        <v>45195</v>
      </c>
      <c r="C337" t="s">
        <v>44</v>
      </c>
      <c r="D337" t="s">
        <v>25</v>
      </c>
      <c r="E337" t="s">
        <v>15</v>
      </c>
      <c r="F337">
        <v>4904.83</v>
      </c>
      <c r="G337">
        <v>392.74</v>
      </c>
      <c r="H337">
        <v>5</v>
      </c>
      <c r="I337">
        <v>2023</v>
      </c>
      <c r="J337">
        <v>9</v>
      </c>
      <c r="K337" t="s">
        <v>39</v>
      </c>
      <c r="L337" t="s">
        <v>32</v>
      </c>
      <c r="M337" s="6">
        <v>8.0072092202991704E-2</v>
      </c>
    </row>
    <row r="338" spans="1:13" x14ac:dyDescent="0.3">
      <c r="A338">
        <v>1272</v>
      </c>
      <c r="B338" s="1">
        <v>45198</v>
      </c>
      <c r="C338" t="s">
        <v>44</v>
      </c>
      <c r="D338" t="s">
        <v>24</v>
      </c>
      <c r="E338" t="s">
        <v>19</v>
      </c>
      <c r="F338">
        <v>3496.56</v>
      </c>
      <c r="G338">
        <v>579.80999999999995</v>
      </c>
      <c r="H338">
        <v>5</v>
      </c>
      <c r="I338">
        <v>2023</v>
      </c>
      <c r="J338">
        <v>9</v>
      </c>
      <c r="K338" t="s">
        <v>39</v>
      </c>
      <c r="L338" t="s">
        <v>23</v>
      </c>
      <c r="M338" s="6">
        <v>0.165822980300638</v>
      </c>
    </row>
    <row r="339" spans="1:13" x14ac:dyDescent="0.3">
      <c r="A339">
        <v>1274</v>
      </c>
      <c r="B339" s="1">
        <v>45200</v>
      </c>
      <c r="C339" t="s">
        <v>44</v>
      </c>
      <c r="D339" t="s">
        <v>28</v>
      </c>
      <c r="E339" t="s">
        <v>15</v>
      </c>
      <c r="F339">
        <v>3382.6</v>
      </c>
      <c r="G339">
        <v>1473.39</v>
      </c>
      <c r="H339">
        <v>2</v>
      </c>
      <c r="I339">
        <v>2023</v>
      </c>
      <c r="J339">
        <v>10</v>
      </c>
      <c r="K339" t="s">
        <v>40</v>
      </c>
      <c r="L339" t="s">
        <v>27</v>
      </c>
      <c r="M339" s="6">
        <v>0.43557914030627298</v>
      </c>
    </row>
    <row r="340" spans="1:13" x14ac:dyDescent="0.3">
      <c r="A340">
        <v>1284</v>
      </c>
      <c r="B340" s="1">
        <v>45210</v>
      </c>
      <c r="C340" t="s">
        <v>44</v>
      </c>
      <c r="D340" t="s">
        <v>28</v>
      </c>
      <c r="E340" t="s">
        <v>29</v>
      </c>
      <c r="F340">
        <v>664.88</v>
      </c>
      <c r="G340">
        <v>876.42</v>
      </c>
      <c r="H340">
        <v>9</v>
      </c>
      <c r="I340">
        <v>2023</v>
      </c>
      <c r="J340">
        <v>10</v>
      </c>
      <c r="K340" t="s">
        <v>40</v>
      </c>
      <c r="L340" t="s">
        <v>30</v>
      </c>
      <c r="M340" s="6">
        <v>1.3181626759716001</v>
      </c>
    </row>
    <row r="341" spans="1:13" x14ac:dyDescent="0.3">
      <c r="A341">
        <v>1288</v>
      </c>
      <c r="B341" s="1">
        <v>45214</v>
      </c>
      <c r="C341" t="s">
        <v>44</v>
      </c>
      <c r="D341" t="s">
        <v>24</v>
      </c>
      <c r="E341" t="s">
        <v>15</v>
      </c>
      <c r="F341">
        <v>368.92</v>
      </c>
      <c r="G341">
        <v>-465.24</v>
      </c>
      <c r="H341">
        <v>9</v>
      </c>
      <c r="I341">
        <v>2023</v>
      </c>
      <c r="J341">
        <v>10</v>
      </c>
      <c r="K341" t="s">
        <v>40</v>
      </c>
      <c r="L341" t="s">
        <v>27</v>
      </c>
      <c r="M341" s="6">
        <v>-1.2610864143987901</v>
      </c>
    </row>
    <row r="342" spans="1:13" x14ac:dyDescent="0.3">
      <c r="A342">
        <v>1289</v>
      </c>
      <c r="B342" s="1">
        <v>45215</v>
      </c>
      <c r="C342" t="s">
        <v>44</v>
      </c>
      <c r="D342" t="s">
        <v>25</v>
      </c>
      <c r="E342" t="s">
        <v>22</v>
      </c>
      <c r="F342">
        <v>2330.1999999999998</v>
      </c>
      <c r="G342">
        <v>146.26</v>
      </c>
      <c r="H342">
        <v>1</v>
      </c>
      <c r="I342">
        <v>2023</v>
      </c>
      <c r="J342">
        <v>10</v>
      </c>
      <c r="K342" t="s">
        <v>40</v>
      </c>
      <c r="L342" t="s">
        <v>17</v>
      </c>
      <c r="M342" s="6">
        <v>6.2767144451120097E-2</v>
      </c>
    </row>
    <row r="343" spans="1:13" x14ac:dyDescent="0.3">
      <c r="A343">
        <v>1291</v>
      </c>
      <c r="B343" s="1">
        <v>45217</v>
      </c>
      <c r="C343" t="s">
        <v>44</v>
      </c>
      <c r="D343" t="s">
        <v>14</v>
      </c>
      <c r="E343" t="s">
        <v>22</v>
      </c>
      <c r="F343">
        <v>3258.28</v>
      </c>
      <c r="G343">
        <v>660.22</v>
      </c>
      <c r="H343">
        <v>1</v>
      </c>
      <c r="I343">
        <v>2023</v>
      </c>
      <c r="J343">
        <v>10</v>
      </c>
      <c r="K343" t="s">
        <v>40</v>
      </c>
      <c r="L343" t="s">
        <v>30</v>
      </c>
      <c r="M343" s="6">
        <v>0.20262838061799501</v>
      </c>
    </row>
    <row r="344" spans="1:13" x14ac:dyDescent="0.3">
      <c r="A344">
        <v>1296</v>
      </c>
      <c r="B344" s="1">
        <v>45222</v>
      </c>
      <c r="C344" t="s">
        <v>44</v>
      </c>
      <c r="D344" t="s">
        <v>25</v>
      </c>
      <c r="E344" t="s">
        <v>15</v>
      </c>
      <c r="F344">
        <v>4436.49</v>
      </c>
      <c r="G344">
        <v>-248.52</v>
      </c>
      <c r="H344">
        <v>2</v>
      </c>
      <c r="I344">
        <v>2023</v>
      </c>
      <c r="J344">
        <v>10</v>
      </c>
      <c r="K344" t="s">
        <v>40</v>
      </c>
      <c r="L344" t="s">
        <v>17</v>
      </c>
      <c r="M344" s="6">
        <v>-5.6017256885510798E-2</v>
      </c>
    </row>
    <row r="345" spans="1:13" x14ac:dyDescent="0.3">
      <c r="A345">
        <v>1297</v>
      </c>
      <c r="B345" s="1">
        <v>45223</v>
      </c>
      <c r="C345" t="s">
        <v>44</v>
      </c>
      <c r="D345" t="s">
        <v>24</v>
      </c>
      <c r="E345" t="s">
        <v>29</v>
      </c>
      <c r="F345">
        <v>2698.3</v>
      </c>
      <c r="G345">
        <v>-234.57</v>
      </c>
      <c r="H345">
        <v>8</v>
      </c>
      <c r="I345">
        <v>2023</v>
      </c>
      <c r="J345">
        <v>10</v>
      </c>
      <c r="K345" t="s">
        <v>40</v>
      </c>
      <c r="L345" t="s">
        <v>32</v>
      </c>
      <c r="M345" s="6">
        <v>-8.69325130637809E-2</v>
      </c>
    </row>
    <row r="346" spans="1:13" x14ac:dyDescent="0.3">
      <c r="A346">
        <v>1298</v>
      </c>
      <c r="B346" s="1">
        <v>45224</v>
      </c>
      <c r="C346" t="s">
        <v>44</v>
      </c>
      <c r="D346" t="s">
        <v>25</v>
      </c>
      <c r="E346" t="s">
        <v>19</v>
      </c>
      <c r="F346">
        <v>2261.06</v>
      </c>
      <c r="G346">
        <v>-212.92</v>
      </c>
      <c r="H346">
        <v>6</v>
      </c>
      <c r="I346">
        <v>2023</v>
      </c>
      <c r="J346">
        <v>10</v>
      </c>
      <c r="K346" t="s">
        <v>40</v>
      </c>
      <c r="L346" t="s">
        <v>30</v>
      </c>
      <c r="M346" s="6">
        <v>-9.4168221984379005E-2</v>
      </c>
    </row>
    <row r="347" spans="1:13" x14ac:dyDescent="0.3">
      <c r="A347">
        <v>1299</v>
      </c>
      <c r="B347" s="1">
        <v>45225</v>
      </c>
      <c r="C347" t="s">
        <v>44</v>
      </c>
      <c r="D347" t="s">
        <v>18</v>
      </c>
      <c r="E347" t="s">
        <v>29</v>
      </c>
      <c r="F347">
        <v>2081.98</v>
      </c>
      <c r="G347">
        <v>1379.64</v>
      </c>
      <c r="H347">
        <v>8</v>
      </c>
      <c r="I347">
        <v>2023</v>
      </c>
      <c r="J347">
        <v>10</v>
      </c>
      <c r="K347" t="s">
        <v>40</v>
      </c>
      <c r="L347" t="s">
        <v>20</v>
      </c>
      <c r="M347" s="6">
        <v>0.66265766241750601</v>
      </c>
    </row>
    <row r="348" spans="1:13" x14ac:dyDescent="0.3">
      <c r="A348">
        <v>1300</v>
      </c>
      <c r="B348" s="1">
        <v>45226</v>
      </c>
      <c r="C348" t="s">
        <v>44</v>
      </c>
      <c r="D348" t="s">
        <v>28</v>
      </c>
      <c r="E348" t="s">
        <v>22</v>
      </c>
      <c r="F348">
        <v>2904.9</v>
      </c>
      <c r="G348">
        <v>965.8</v>
      </c>
      <c r="H348">
        <v>1</v>
      </c>
      <c r="I348">
        <v>2023</v>
      </c>
      <c r="J348">
        <v>10</v>
      </c>
      <c r="K348" t="s">
        <v>40</v>
      </c>
      <c r="L348" t="s">
        <v>23</v>
      </c>
      <c r="M348" s="6">
        <v>0.33247271851010401</v>
      </c>
    </row>
    <row r="349" spans="1:13" x14ac:dyDescent="0.3">
      <c r="A349">
        <v>1306</v>
      </c>
      <c r="B349" s="1">
        <v>45232</v>
      </c>
      <c r="C349" t="s">
        <v>44</v>
      </c>
      <c r="D349" t="s">
        <v>21</v>
      </c>
      <c r="E349" t="s">
        <v>29</v>
      </c>
      <c r="F349">
        <v>2191.4</v>
      </c>
      <c r="G349">
        <v>1426.69</v>
      </c>
      <c r="H349">
        <v>1</v>
      </c>
      <c r="I349">
        <v>2023</v>
      </c>
      <c r="J349">
        <v>11</v>
      </c>
      <c r="K349" t="s">
        <v>41</v>
      </c>
      <c r="L349" t="s">
        <v>20</v>
      </c>
      <c r="M349" s="6">
        <v>0.65104043077484697</v>
      </c>
    </row>
    <row r="350" spans="1:13" x14ac:dyDescent="0.3">
      <c r="A350">
        <v>1314</v>
      </c>
      <c r="B350" s="1">
        <v>45240</v>
      </c>
      <c r="C350" t="s">
        <v>44</v>
      </c>
      <c r="D350" t="s">
        <v>24</v>
      </c>
      <c r="E350" t="s">
        <v>19</v>
      </c>
      <c r="F350">
        <v>4669.6899999999996</v>
      </c>
      <c r="G350">
        <v>1229.22</v>
      </c>
      <c r="H350">
        <v>3</v>
      </c>
      <c r="I350">
        <v>2023</v>
      </c>
      <c r="J350">
        <v>11</v>
      </c>
      <c r="K350" t="s">
        <v>41</v>
      </c>
      <c r="L350" t="s">
        <v>23</v>
      </c>
      <c r="M350" s="6">
        <v>0.26323374785050002</v>
      </c>
    </row>
    <row r="351" spans="1:13" x14ac:dyDescent="0.3">
      <c r="A351">
        <v>1316</v>
      </c>
      <c r="B351" s="1">
        <v>45242</v>
      </c>
      <c r="C351" t="s">
        <v>44</v>
      </c>
      <c r="D351" t="s">
        <v>21</v>
      </c>
      <c r="E351" t="s">
        <v>29</v>
      </c>
      <c r="F351">
        <v>146.47999999999999</v>
      </c>
      <c r="G351">
        <v>-273.77999999999997</v>
      </c>
      <c r="H351">
        <v>3</v>
      </c>
      <c r="I351">
        <v>2023</v>
      </c>
      <c r="J351">
        <v>11</v>
      </c>
      <c r="K351" t="s">
        <v>41</v>
      </c>
      <c r="L351" t="s">
        <v>27</v>
      </c>
      <c r="M351" s="6">
        <v>-1.8690606226105999</v>
      </c>
    </row>
    <row r="352" spans="1:13" x14ac:dyDescent="0.3">
      <c r="A352">
        <v>1317</v>
      </c>
      <c r="B352" s="1">
        <v>45243</v>
      </c>
      <c r="C352" t="s">
        <v>44</v>
      </c>
      <c r="D352" t="s">
        <v>18</v>
      </c>
      <c r="E352" t="s">
        <v>22</v>
      </c>
      <c r="F352">
        <v>358.15</v>
      </c>
      <c r="G352">
        <v>1091.02</v>
      </c>
      <c r="H352">
        <v>8</v>
      </c>
      <c r="I352">
        <v>2023</v>
      </c>
      <c r="J352">
        <v>11</v>
      </c>
      <c r="K352" t="s">
        <v>41</v>
      </c>
      <c r="L352" t="s">
        <v>17</v>
      </c>
      <c r="M352" s="6">
        <v>3.0462655312020099</v>
      </c>
    </row>
    <row r="353" spans="1:13" x14ac:dyDescent="0.3">
      <c r="A353">
        <v>1318</v>
      </c>
      <c r="B353" s="1">
        <v>45244</v>
      </c>
      <c r="C353" t="s">
        <v>44</v>
      </c>
      <c r="D353" t="s">
        <v>28</v>
      </c>
      <c r="E353" t="s">
        <v>15</v>
      </c>
      <c r="F353">
        <v>533.86</v>
      </c>
      <c r="G353">
        <v>1337.36</v>
      </c>
      <c r="H353">
        <v>1</v>
      </c>
      <c r="I353">
        <v>2023</v>
      </c>
      <c r="J353">
        <v>11</v>
      </c>
      <c r="K353" t="s">
        <v>41</v>
      </c>
      <c r="L353" t="s">
        <v>32</v>
      </c>
      <c r="M353" s="6">
        <v>2.50507623721575</v>
      </c>
    </row>
    <row r="354" spans="1:13" x14ac:dyDescent="0.3">
      <c r="A354">
        <v>1319</v>
      </c>
      <c r="B354" s="1">
        <v>45245</v>
      </c>
      <c r="C354" t="s">
        <v>44</v>
      </c>
      <c r="D354" t="s">
        <v>14</v>
      </c>
      <c r="E354" t="s">
        <v>15</v>
      </c>
      <c r="F354">
        <v>284.22000000000003</v>
      </c>
      <c r="G354">
        <v>701.22</v>
      </c>
      <c r="H354">
        <v>5</v>
      </c>
      <c r="I354">
        <v>2023</v>
      </c>
      <c r="J354">
        <v>11</v>
      </c>
      <c r="K354" t="s">
        <v>41</v>
      </c>
      <c r="L354" t="s">
        <v>30</v>
      </c>
      <c r="M354" s="6">
        <v>2.46717331644501</v>
      </c>
    </row>
    <row r="355" spans="1:13" x14ac:dyDescent="0.3">
      <c r="A355">
        <v>1320</v>
      </c>
      <c r="B355" s="1">
        <v>45246</v>
      </c>
      <c r="C355" t="s">
        <v>44</v>
      </c>
      <c r="D355" t="s">
        <v>24</v>
      </c>
      <c r="E355" t="s">
        <v>19</v>
      </c>
      <c r="F355">
        <v>2450.9299999999998</v>
      </c>
      <c r="G355">
        <v>1381.75</v>
      </c>
      <c r="H355">
        <v>4</v>
      </c>
      <c r="I355">
        <v>2023</v>
      </c>
      <c r="J355">
        <v>11</v>
      </c>
      <c r="K355" t="s">
        <v>41</v>
      </c>
      <c r="L355" t="s">
        <v>20</v>
      </c>
      <c r="M355" s="6">
        <v>0.56376559102055201</v>
      </c>
    </row>
    <row r="356" spans="1:13" x14ac:dyDescent="0.3">
      <c r="A356">
        <v>1323</v>
      </c>
      <c r="B356" s="1">
        <v>45249</v>
      </c>
      <c r="C356" t="s">
        <v>44</v>
      </c>
      <c r="D356" t="s">
        <v>25</v>
      </c>
      <c r="E356" t="s">
        <v>15</v>
      </c>
      <c r="F356">
        <v>2051.61</v>
      </c>
      <c r="G356">
        <v>654.37</v>
      </c>
      <c r="H356">
        <v>4</v>
      </c>
      <c r="I356">
        <v>2023</v>
      </c>
      <c r="J356">
        <v>11</v>
      </c>
      <c r="K356" t="s">
        <v>41</v>
      </c>
      <c r="L356" t="s">
        <v>27</v>
      </c>
      <c r="M356" s="6">
        <v>0.31895438216815097</v>
      </c>
    </row>
    <row r="357" spans="1:13" x14ac:dyDescent="0.3">
      <c r="A357">
        <v>1326</v>
      </c>
      <c r="B357" s="1">
        <v>45252</v>
      </c>
      <c r="C357" t="s">
        <v>44</v>
      </c>
      <c r="D357" t="s">
        <v>28</v>
      </c>
      <c r="E357" t="s">
        <v>22</v>
      </c>
      <c r="F357">
        <v>2660.34</v>
      </c>
      <c r="G357">
        <v>709.91</v>
      </c>
      <c r="H357">
        <v>7</v>
      </c>
      <c r="I357">
        <v>2023</v>
      </c>
      <c r="J357">
        <v>11</v>
      </c>
      <c r="K357" t="s">
        <v>41</v>
      </c>
      <c r="L357" t="s">
        <v>30</v>
      </c>
      <c r="M357" s="6">
        <v>0.26684935008307198</v>
      </c>
    </row>
    <row r="358" spans="1:13" x14ac:dyDescent="0.3">
      <c r="A358">
        <v>1328</v>
      </c>
      <c r="B358" s="1">
        <v>45254</v>
      </c>
      <c r="C358" t="s">
        <v>44</v>
      </c>
      <c r="D358" t="s">
        <v>14</v>
      </c>
      <c r="E358" t="s">
        <v>22</v>
      </c>
      <c r="F358">
        <v>116.4</v>
      </c>
      <c r="G358">
        <v>1232.8800000000001</v>
      </c>
      <c r="H358">
        <v>3</v>
      </c>
      <c r="I358">
        <v>2023</v>
      </c>
      <c r="J358">
        <v>11</v>
      </c>
      <c r="K358" t="s">
        <v>41</v>
      </c>
      <c r="L358" t="s">
        <v>23</v>
      </c>
      <c r="M358" s="6">
        <v>10.5917525773196</v>
      </c>
    </row>
    <row r="359" spans="1:13" x14ac:dyDescent="0.3">
      <c r="A359">
        <v>1338</v>
      </c>
      <c r="B359" s="1">
        <v>45264</v>
      </c>
      <c r="C359" t="s">
        <v>44</v>
      </c>
      <c r="D359" t="s">
        <v>21</v>
      </c>
      <c r="E359" t="s">
        <v>29</v>
      </c>
      <c r="F359">
        <v>2018.99</v>
      </c>
      <c r="G359">
        <v>1302.75</v>
      </c>
      <c r="H359">
        <v>9</v>
      </c>
      <c r="I359">
        <v>2023</v>
      </c>
      <c r="J359">
        <v>12</v>
      </c>
      <c r="K359" t="s">
        <v>42</v>
      </c>
      <c r="L359" t="s">
        <v>17</v>
      </c>
      <c r="M359" s="6">
        <v>0.64524836675763597</v>
      </c>
    </row>
    <row r="360" spans="1:13" x14ac:dyDescent="0.3">
      <c r="A360">
        <v>1340</v>
      </c>
      <c r="B360" s="1">
        <v>45266</v>
      </c>
      <c r="C360" t="s">
        <v>44</v>
      </c>
      <c r="D360" t="s">
        <v>21</v>
      </c>
      <c r="E360" t="s">
        <v>29</v>
      </c>
      <c r="F360">
        <v>4786.4399999999996</v>
      </c>
      <c r="G360">
        <v>134.38999999999999</v>
      </c>
      <c r="H360">
        <v>2</v>
      </c>
      <c r="I360">
        <v>2023</v>
      </c>
      <c r="J360">
        <v>12</v>
      </c>
      <c r="K360" t="s">
        <v>42</v>
      </c>
      <c r="L360" t="s">
        <v>30</v>
      </c>
      <c r="M360" s="6">
        <v>2.8077234855132398E-2</v>
      </c>
    </row>
    <row r="361" spans="1:13" x14ac:dyDescent="0.3">
      <c r="A361">
        <v>1342</v>
      </c>
      <c r="B361" s="1">
        <v>45268</v>
      </c>
      <c r="C361" t="s">
        <v>44</v>
      </c>
      <c r="D361" t="s">
        <v>28</v>
      </c>
      <c r="E361" t="s">
        <v>29</v>
      </c>
      <c r="F361">
        <v>1369.01</v>
      </c>
      <c r="G361">
        <v>251.34</v>
      </c>
      <c r="H361">
        <v>1</v>
      </c>
      <c r="I361">
        <v>2023</v>
      </c>
      <c r="J361">
        <v>12</v>
      </c>
      <c r="K361" t="s">
        <v>42</v>
      </c>
      <c r="L361" t="s">
        <v>23</v>
      </c>
      <c r="M361" s="6">
        <v>0.183592523064112</v>
      </c>
    </row>
    <row r="362" spans="1:13" x14ac:dyDescent="0.3">
      <c r="A362">
        <v>1348</v>
      </c>
      <c r="B362" s="1">
        <v>45274</v>
      </c>
      <c r="C362" t="s">
        <v>44</v>
      </c>
      <c r="D362" t="s">
        <v>18</v>
      </c>
      <c r="E362" t="s">
        <v>15</v>
      </c>
      <c r="F362">
        <v>4947.01</v>
      </c>
      <c r="G362">
        <v>626.88</v>
      </c>
      <c r="H362">
        <v>7</v>
      </c>
      <c r="I362">
        <v>2023</v>
      </c>
      <c r="J362">
        <v>12</v>
      </c>
      <c r="K362" t="s">
        <v>42</v>
      </c>
      <c r="L362" t="s">
        <v>20</v>
      </c>
      <c r="M362" s="6">
        <v>0.12671896761882401</v>
      </c>
    </row>
    <row r="363" spans="1:13" x14ac:dyDescent="0.3">
      <c r="A363">
        <v>1359</v>
      </c>
      <c r="B363" s="1">
        <v>45285</v>
      </c>
      <c r="C363" t="s">
        <v>44</v>
      </c>
      <c r="D363" t="s">
        <v>18</v>
      </c>
      <c r="E363" t="s">
        <v>29</v>
      </c>
      <c r="F363">
        <v>4790.62</v>
      </c>
      <c r="G363">
        <v>500.89</v>
      </c>
      <c r="H363">
        <v>2</v>
      </c>
      <c r="I363">
        <v>2023</v>
      </c>
      <c r="J363">
        <v>12</v>
      </c>
      <c r="K363" t="s">
        <v>42</v>
      </c>
      <c r="L363" t="s">
        <v>17</v>
      </c>
      <c r="M363" s="6">
        <v>0.104556403972763</v>
      </c>
    </row>
    <row r="364" spans="1:13" x14ac:dyDescent="0.3">
      <c r="A364">
        <v>1361</v>
      </c>
      <c r="B364" s="1">
        <v>45287</v>
      </c>
      <c r="C364" t="s">
        <v>44</v>
      </c>
      <c r="D364" t="s">
        <v>25</v>
      </c>
      <c r="E364" t="s">
        <v>15</v>
      </c>
      <c r="F364">
        <v>4023.77</v>
      </c>
      <c r="G364">
        <v>1402.96</v>
      </c>
      <c r="H364">
        <v>9</v>
      </c>
      <c r="I364">
        <v>2023</v>
      </c>
      <c r="J364">
        <v>12</v>
      </c>
      <c r="K364" t="s">
        <v>42</v>
      </c>
      <c r="L364" t="s">
        <v>30</v>
      </c>
      <c r="M364" s="6">
        <v>0.348668040171282</v>
      </c>
    </row>
    <row r="365" spans="1:13" x14ac:dyDescent="0.3">
      <c r="A365">
        <v>1363</v>
      </c>
      <c r="B365" s="1">
        <v>45289</v>
      </c>
      <c r="C365" t="s">
        <v>44</v>
      </c>
      <c r="D365" t="s">
        <v>24</v>
      </c>
      <c r="E365" t="s">
        <v>22</v>
      </c>
      <c r="F365">
        <v>1159.99</v>
      </c>
      <c r="G365">
        <v>1328.47</v>
      </c>
      <c r="H365">
        <v>8</v>
      </c>
      <c r="I365">
        <v>2023</v>
      </c>
      <c r="J365">
        <v>12</v>
      </c>
      <c r="K365" t="s">
        <v>42</v>
      </c>
      <c r="L365" t="s">
        <v>23</v>
      </c>
      <c r="M365" s="6">
        <v>1.1452426314019899</v>
      </c>
    </row>
    <row r="366" spans="1:13" x14ac:dyDescent="0.3">
      <c r="A366">
        <v>1364</v>
      </c>
      <c r="B366" s="1">
        <v>45290</v>
      </c>
      <c r="C366" t="s">
        <v>44</v>
      </c>
      <c r="D366" t="s">
        <v>21</v>
      </c>
      <c r="E366" t="s">
        <v>19</v>
      </c>
      <c r="F366">
        <v>2639.48</v>
      </c>
      <c r="G366">
        <v>1127.53</v>
      </c>
      <c r="H366">
        <v>9</v>
      </c>
      <c r="I366">
        <v>2023</v>
      </c>
      <c r="J366">
        <v>12</v>
      </c>
      <c r="K366" t="s">
        <v>42</v>
      </c>
      <c r="L366" t="s">
        <v>26</v>
      </c>
      <c r="M366" s="6">
        <v>0.42717883825601999</v>
      </c>
    </row>
    <row r="367" spans="1:13" x14ac:dyDescent="0.3">
      <c r="A367">
        <v>1366</v>
      </c>
      <c r="B367" s="1">
        <v>45292</v>
      </c>
      <c r="C367" t="s">
        <v>44</v>
      </c>
      <c r="D367" t="s">
        <v>21</v>
      </c>
      <c r="E367" t="s">
        <v>15</v>
      </c>
      <c r="F367">
        <v>2672.65</v>
      </c>
      <c r="G367">
        <v>-202.02</v>
      </c>
      <c r="H367">
        <v>6</v>
      </c>
      <c r="I367">
        <v>2024</v>
      </c>
      <c r="J367">
        <v>1</v>
      </c>
      <c r="K367" t="s">
        <v>16</v>
      </c>
      <c r="L367" t="s">
        <v>17</v>
      </c>
      <c r="M367" s="6">
        <v>-7.5587899650159995E-2</v>
      </c>
    </row>
    <row r="368" spans="1:13" x14ac:dyDescent="0.3">
      <c r="A368">
        <v>1367</v>
      </c>
      <c r="B368" s="1">
        <v>45293</v>
      </c>
      <c r="C368" t="s">
        <v>44</v>
      </c>
      <c r="D368" t="s">
        <v>18</v>
      </c>
      <c r="E368" t="s">
        <v>29</v>
      </c>
      <c r="F368">
        <v>1375.14</v>
      </c>
      <c r="G368">
        <v>553.25</v>
      </c>
      <c r="H368">
        <v>4</v>
      </c>
      <c r="I368">
        <v>2024</v>
      </c>
      <c r="J368">
        <v>1</v>
      </c>
      <c r="K368" t="s">
        <v>16</v>
      </c>
      <c r="L368" t="s">
        <v>32</v>
      </c>
      <c r="M368" s="6">
        <v>0.402322672600608</v>
      </c>
    </row>
    <row r="369" spans="1:13" x14ac:dyDescent="0.3">
      <c r="A369">
        <v>1368</v>
      </c>
      <c r="B369" s="1">
        <v>45294</v>
      </c>
      <c r="C369" t="s">
        <v>43</v>
      </c>
      <c r="D369" t="s">
        <v>25</v>
      </c>
      <c r="E369" t="s">
        <v>19</v>
      </c>
      <c r="F369">
        <v>2624.71</v>
      </c>
      <c r="G369">
        <v>-7.86</v>
      </c>
      <c r="H369">
        <v>4</v>
      </c>
      <c r="I369">
        <v>2024</v>
      </c>
      <c r="J369">
        <v>1</v>
      </c>
      <c r="K369" t="s">
        <v>16</v>
      </c>
      <c r="L369" t="s">
        <v>30</v>
      </c>
      <c r="M369" s="6">
        <v>-2.9946165481138901E-3</v>
      </c>
    </row>
    <row r="370" spans="1:13" x14ac:dyDescent="0.3">
      <c r="A370">
        <v>1369</v>
      </c>
      <c r="B370" s="1">
        <v>45295</v>
      </c>
      <c r="C370" t="s">
        <v>44</v>
      </c>
      <c r="D370" t="s">
        <v>14</v>
      </c>
      <c r="E370" t="s">
        <v>19</v>
      </c>
      <c r="F370">
        <v>2506.81</v>
      </c>
      <c r="G370">
        <v>453.39</v>
      </c>
      <c r="H370">
        <v>5</v>
      </c>
      <c r="I370">
        <v>2024</v>
      </c>
      <c r="J370">
        <v>1</v>
      </c>
      <c r="K370" t="s">
        <v>16</v>
      </c>
      <c r="L370" t="s">
        <v>20</v>
      </c>
      <c r="M370" s="6">
        <v>0.180863328293728</v>
      </c>
    </row>
    <row r="371" spans="1:13" x14ac:dyDescent="0.3">
      <c r="A371">
        <v>1370</v>
      </c>
      <c r="B371" s="1">
        <v>45296</v>
      </c>
      <c r="C371" t="s">
        <v>43</v>
      </c>
      <c r="D371" t="s">
        <v>21</v>
      </c>
      <c r="E371" t="s">
        <v>22</v>
      </c>
      <c r="F371">
        <v>4982.05</v>
      </c>
      <c r="G371">
        <v>288.73</v>
      </c>
      <c r="H371">
        <v>3</v>
      </c>
      <c r="I371">
        <v>2024</v>
      </c>
      <c r="J371">
        <v>1</v>
      </c>
      <c r="K371" t="s">
        <v>16</v>
      </c>
      <c r="L371" t="s">
        <v>23</v>
      </c>
      <c r="M371" s="6">
        <v>5.7954055057657002E-2</v>
      </c>
    </row>
    <row r="372" spans="1:13" x14ac:dyDescent="0.3">
      <c r="A372">
        <v>1371</v>
      </c>
      <c r="B372" s="1">
        <v>45297</v>
      </c>
      <c r="C372" t="s">
        <v>44</v>
      </c>
      <c r="D372" t="s">
        <v>24</v>
      </c>
      <c r="E372" t="s">
        <v>19</v>
      </c>
      <c r="F372">
        <v>4497.4399999999996</v>
      </c>
      <c r="G372">
        <v>598.83000000000004</v>
      </c>
      <c r="H372">
        <v>1</v>
      </c>
      <c r="I372">
        <v>2024</v>
      </c>
      <c r="J372">
        <v>1</v>
      </c>
      <c r="K372" t="s">
        <v>16</v>
      </c>
      <c r="L372" t="s">
        <v>26</v>
      </c>
      <c r="M372" s="6">
        <v>0.13314908036571901</v>
      </c>
    </row>
    <row r="373" spans="1:13" x14ac:dyDescent="0.3">
      <c r="A373">
        <v>1372</v>
      </c>
      <c r="B373" s="1">
        <v>45298</v>
      </c>
      <c r="C373" t="s">
        <v>43</v>
      </c>
      <c r="D373" t="s">
        <v>18</v>
      </c>
      <c r="E373" t="s">
        <v>19</v>
      </c>
      <c r="F373">
        <v>2370.5700000000002</v>
      </c>
      <c r="G373">
        <v>993.75</v>
      </c>
      <c r="H373">
        <v>8</v>
      </c>
      <c r="I373">
        <v>2024</v>
      </c>
      <c r="J373">
        <v>1</v>
      </c>
      <c r="K373" t="s">
        <v>16</v>
      </c>
      <c r="L373" t="s">
        <v>27</v>
      </c>
      <c r="M373" s="6">
        <v>0.41920297649932298</v>
      </c>
    </row>
    <row r="374" spans="1:13" x14ac:dyDescent="0.3">
      <c r="A374">
        <v>1373</v>
      </c>
      <c r="B374" s="1">
        <v>45299</v>
      </c>
      <c r="C374" t="s">
        <v>43</v>
      </c>
      <c r="D374" t="s">
        <v>18</v>
      </c>
      <c r="E374" t="s">
        <v>29</v>
      </c>
      <c r="F374">
        <v>3152.39</v>
      </c>
      <c r="G374">
        <v>930.98</v>
      </c>
      <c r="H374">
        <v>5</v>
      </c>
      <c r="I374">
        <v>2024</v>
      </c>
      <c r="J374">
        <v>1</v>
      </c>
      <c r="K374" t="s">
        <v>16</v>
      </c>
      <c r="L374" t="s">
        <v>17</v>
      </c>
      <c r="M374" s="6">
        <v>0.29532513426321</v>
      </c>
    </row>
    <row r="375" spans="1:13" x14ac:dyDescent="0.3">
      <c r="A375">
        <v>1374</v>
      </c>
      <c r="B375" s="1">
        <v>45300</v>
      </c>
      <c r="C375" t="s">
        <v>44</v>
      </c>
      <c r="D375" t="s">
        <v>21</v>
      </c>
      <c r="E375" t="s">
        <v>19</v>
      </c>
      <c r="F375">
        <v>3764.57</v>
      </c>
      <c r="G375">
        <v>542.47</v>
      </c>
      <c r="H375">
        <v>3</v>
      </c>
      <c r="I375">
        <v>2024</v>
      </c>
      <c r="J375">
        <v>1</v>
      </c>
      <c r="K375" t="s">
        <v>16</v>
      </c>
      <c r="L375" t="s">
        <v>32</v>
      </c>
      <c r="M375" s="6">
        <v>0.14409879481587501</v>
      </c>
    </row>
    <row r="376" spans="1:13" x14ac:dyDescent="0.3">
      <c r="A376">
        <v>1375</v>
      </c>
      <c r="B376" s="1">
        <v>45301</v>
      </c>
      <c r="C376" t="s">
        <v>44</v>
      </c>
      <c r="D376" t="s">
        <v>25</v>
      </c>
      <c r="E376" t="s">
        <v>15</v>
      </c>
      <c r="F376">
        <v>270.83999999999997</v>
      </c>
      <c r="G376">
        <v>1144.79</v>
      </c>
      <c r="H376">
        <v>7</v>
      </c>
      <c r="I376">
        <v>2024</v>
      </c>
      <c r="J376">
        <v>1</v>
      </c>
      <c r="K376" t="s">
        <v>16</v>
      </c>
      <c r="L376" t="s">
        <v>30</v>
      </c>
      <c r="M376" s="6">
        <v>4.2268128784522201</v>
      </c>
    </row>
    <row r="377" spans="1:13" x14ac:dyDescent="0.3">
      <c r="A377">
        <v>1376</v>
      </c>
      <c r="B377" s="1">
        <v>45302</v>
      </c>
      <c r="C377" t="s">
        <v>44</v>
      </c>
      <c r="D377" t="s">
        <v>21</v>
      </c>
      <c r="E377" t="s">
        <v>29</v>
      </c>
      <c r="F377">
        <v>4485.12</v>
      </c>
      <c r="G377">
        <v>361.72</v>
      </c>
      <c r="H377">
        <v>7</v>
      </c>
      <c r="I377">
        <v>2024</v>
      </c>
      <c r="J377">
        <v>1</v>
      </c>
      <c r="K377" t="s">
        <v>16</v>
      </c>
      <c r="L377" t="s">
        <v>20</v>
      </c>
      <c r="M377" s="6">
        <v>8.0648901255707797E-2</v>
      </c>
    </row>
    <row r="378" spans="1:13" x14ac:dyDescent="0.3">
      <c r="A378">
        <v>1377</v>
      </c>
      <c r="B378" s="1">
        <v>45303</v>
      </c>
      <c r="C378" t="s">
        <v>13</v>
      </c>
      <c r="D378" t="s">
        <v>14</v>
      </c>
      <c r="E378" t="s">
        <v>29</v>
      </c>
      <c r="F378">
        <v>4314.62</v>
      </c>
      <c r="G378">
        <v>1293.43</v>
      </c>
      <c r="H378">
        <v>1</v>
      </c>
      <c r="I378">
        <v>2024</v>
      </c>
      <c r="J378">
        <v>1</v>
      </c>
      <c r="K378" t="s">
        <v>16</v>
      </c>
      <c r="L378" t="s">
        <v>23</v>
      </c>
      <c r="M378" s="6">
        <v>0.29977842776420599</v>
      </c>
    </row>
    <row r="379" spans="1:13" x14ac:dyDescent="0.3">
      <c r="A379">
        <v>1378</v>
      </c>
      <c r="B379" s="1">
        <v>45304</v>
      </c>
      <c r="C379" t="s">
        <v>13</v>
      </c>
      <c r="D379" t="s">
        <v>21</v>
      </c>
      <c r="E379" t="s">
        <v>22</v>
      </c>
      <c r="F379">
        <v>2341.42</v>
      </c>
      <c r="G379">
        <v>-357.44</v>
      </c>
      <c r="H379">
        <v>9</v>
      </c>
      <c r="I379">
        <v>2024</v>
      </c>
      <c r="J379">
        <v>1</v>
      </c>
      <c r="K379" t="s">
        <v>16</v>
      </c>
      <c r="L379" t="s">
        <v>26</v>
      </c>
      <c r="M379" s="6">
        <v>-0.15265949722817801</v>
      </c>
    </row>
    <row r="380" spans="1:13" x14ac:dyDescent="0.3">
      <c r="A380">
        <v>1379</v>
      </c>
      <c r="B380" s="1">
        <v>45305</v>
      </c>
      <c r="C380" t="s">
        <v>13</v>
      </c>
      <c r="D380" t="s">
        <v>18</v>
      </c>
      <c r="E380" t="s">
        <v>19</v>
      </c>
      <c r="F380">
        <v>2016.73</v>
      </c>
      <c r="G380">
        <v>1409.32</v>
      </c>
      <c r="H380">
        <v>2</v>
      </c>
      <c r="I380">
        <v>2024</v>
      </c>
      <c r="J380">
        <v>1</v>
      </c>
      <c r="K380" t="s">
        <v>16</v>
      </c>
      <c r="L380" t="s">
        <v>27</v>
      </c>
      <c r="M380" s="6">
        <v>0.69881441739846195</v>
      </c>
    </row>
    <row r="381" spans="1:13" x14ac:dyDescent="0.3">
      <c r="A381">
        <v>1380</v>
      </c>
      <c r="B381" s="1">
        <v>45306</v>
      </c>
      <c r="C381" t="s">
        <v>43</v>
      </c>
      <c r="D381" t="s">
        <v>21</v>
      </c>
      <c r="E381" t="s">
        <v>22</v>
      </c>
      <c r="F381">
        <v>1437.5</v>
      </c>
      <c r="G381">
        <v>809.39</v>
      </c>
      <c r="H381">
        <v>5</v>
      </c>
      <c r="I381">
        <v>2024</v>
      </c>
      <c r="J381">
        <v>1</v>
      </c>
      <c r="K381" t="s">
        <v>16</v>
      </c>
      <c r="L381" t="s">
        <v>17</v>
      </c>
      <c r="M381" s="6">
        <v>0.56305391304347796</v>
      </c>
    </row>
    <row r="382" spans="1:13" x14ac:dyDescent="0.3">
      <c r="A382">
        <v>1381</v>
      </c>
      <c r="B382" s="1">
        <v>45307</v>
      </c>
      <c r="C382" t="s">
        <v>44</v>
      </c>
      <c r="D382" t="s">
        <v>25</v>
      </c>
      <c r="E382" t="s">
        <v>15</v>
      </c>
      <c r="F382">
        <v>2435.7199999999998</v>
      </c>
      <c r="G382">
        <v>260.14999999999998</v>
      </c>
      <c r="H382">
        <v>5</v>
      </c>
      <c r="I382">
        <v>2024</v>
      </c>
      <c r="J382">
        <v>1</v>
      </c>
      <c r="K382" t="s">
        <v>16</v>
      </c>
      <c r="L382" t="s">
        <v>32</v>
      </c>
      <c r="M382" s="6">
        <v>0.106806201041171</v>
      </c>
    </row>
    <row r="383" spans="1:13" x14ac:dyDescent="0.3">
      <c r="A383">
        <v>1382</v>
      </c>
      <c r="B383" s="1">
        <v>45308</v>
      </c>
      <c r="C383" t="s">
        <v>43</v>
      </c>
      <c r="D383" t="s">
        <v>24</v>
      </c>
      <c r="E383" t="s">
        <v>29</v>
      </c>
      <c r="F383">
        <v>317.45</v>
      </c>
      <c r="G383">
        <v>-105.69</v>
      </c>
      <c r="H383">
        <v>8</v>
      </c>
      <c r="I383">
        <v>2024</v>
      </c>
      <c r="J383">
        <v>1</v>
      </c>
      <c r="K383" t="s">
        <v>16</v>
      </c>
      <c r="L383" t="s">
        <v>30</v>
      </c>
      <c r="M383" s="6">
        <v>-0.33293432036541198</v>
      </c>
    </row>
    <row r="384" spans="1:13" x14ac:dyDescent="0.3">
      <c r="A384">
        <v>1383</v>
      </c>
      <c r="B384" s="1">
        <v>45309</v>
      </c>
      <c r="C384" t="s">
        <v>13</v>
      </c>
      <c r="D384" t="s">
        <v>28</v>
      </c>
      <c r="E384" t="s">
        <v>29</v>
      </c>
      <c r="F384">
        <v>4275.75</v>
      </c>
      <c r="G384">
        <v>458.37</v>
      </c>
      <c r="H384">
        <v>8</v>
      </c>
      <c r="I384">
        <v>2024</v>
      </c>
      <c r="J384">
        <v>1</v>
      </c>
      <c r="K384" t="s">
        <v>16</v>
      </c>
      <c r="L384" t="s">
        <v>20</v>
      </c>
      <c r="M384" s="6">
        <v>0.10720224522013699</v>
      </c>
    </row>
    <row r="385" spans="1:13" x14ac:dyDescent="0.3">
      <c r="A385">
        <v>1384</v>
      </c>
      <c r="B385" s="1">
        <v>45310</v>
      </c>
      <c r="C385" t="s">
        <v>44</v>
      </c>
      <c r="D385" t="s">
        <v>21</v>
      </c>
      <c r="E385" t="s">
        <v>29</v>
      </c>
      <c r="F385">
        <v>273.57</v>
      </c>
      <c r="G385">
        <v>-110.88</v>
      </c>
      <c r="H385">
        <v>7</v>
      </c>
      <c r="I385">
        <v>2024</v>
      </c>
      <c r="J385">
        <v>1</v>
      </c>
      <c r="K385" t="s">
        <v>16</v>
      </c>
      <c r="L385" t="s">
        <v>23</v>
      </c>
      <c r="M385" s="6">
        <v>-0.40530759951749101</v>
      </c>
    </row>
    <row r="386" spans="1:13" x14ac:dyDescent="0.3">
      <c r="A386">
        <v>1385</v>
      </c>
      <c r="B386" s="1">
        <v>45311</v>
      </c>
      <c r="C386" t="s">
        <v>43</v>
      </c>
      <c r="D386" t="s">
        <v>25</v>
      </c>
      <c r="E386" t="s">
        <v>15</v>
      </c>
      <c r="F386">
        <v>1712.35</v>
      </c>
      <c r="G386">
        <v>-167.34</v>
      </c>
      <c r="H386">
        <v>7</v>
      </c>
      <c r="I386">
        <v>2024</v>
      </c>
      <c r="J386">
        <v>1</v>
      </c>
      <c r="K386" t="s">
        <v>16</v>
      </c>
      <c r="L386" t="s">
        <v>26</v>
      </c>
      <c r="M386" s="6">
        <v>-9.7725348205682197E-2</v>
      </c>
    </row>
    <row r="387" spans="1:13" x14ac:dyDescent="0.3">
      <c r="A387">
        <v>1386</v>
      </c>
      <c r="B387" s="1">
        <v>45312</v>
      </c>
      <c r="C387" t="s">
        <v>44</v>
      </c>
      <c r="D387" t="s">
        <v>25</v>
      </c>
      <c r="E387" t="s">
        <v>15</v>
      </c>
      <c r="F387">
        <v>4664.79</v>
      </c>
      <c r="G387">
        <v>734.7</v>
      </c>
      <c r="H387">
        <v>6</v>
      </c>
      <c r="I387">
        <v>2024</v>
      </c>
      <c r="J387">
        <v>1</v>
      </c>
      <c r="K387" t="s">
        <v>16</v>
      </c>
      <c r="L387" t="s">
        <v>27</v>
      </c>
      <c r="M387" s="6">
        <v>0.157499051404243</v>
      </c>
    </row>
    <row r="388" spans="1:13" x14ac:dyDescent="0.3">
      <c r="A388">
        <v>1387</v>
      </c>
      <c r="B388" s="1">
        <v>45313</v>
      </c>
      <c r="C388" t="s">
        <v>43</v>
      </c>
      <c r="D388" t="s">
        <v>24</v>
      </c>
      <c r="E388" t="s">
        <v>22</v>
      </c>
      <c r="F388">
        <v>3702.54</v>
      </c>
      <c r="G388">
        <v>546.16999999999996</v>
      </c>
      <c r="H388">
        <v>6</v>
      </c>
      <c r="I388">
        <v>2024</v>
      </c>
      <c r="J388">
        <v>1</v>
      </c>
      <c r="K388" t="s">
        <v>16</v>
      </c>
      <c r="L388" t="s">
        <v>17</v>
      </c>
      <c r="M388" s="6">
        <v>0.14751224834843099</v>
      </c>
    </row>
    <row r="389" spans="1:13" x14ac:dyDescent="0.3">
      <c r="A389">
        <v>1388</v>
      </c>
      <c r="B389" s="1">
        <v>45314</v>
      </c>
      <c r="C389" t="s">
        <v>44</v>
      </c>
      <c r="D389" t="s">
        <v>18</v>
      </c>
      <c r="E389" t="s">
        <v>22</v>
      </c>
      <c r="F389">
        <v>1478.82</v>
      </c>
      <c r="G389">
        <v>840.19</v>
      </c>
      <c r="H389">
        <v>9</v>
      </c>
      <c r="I389">
        <v>2024</v>
      </c>
      <c r="J389">
        <v>1</v>
      </c>
      <c r="K389" t="s">
        <v>16</v>
      </c>
      <c r="L389" t="s">
        <v>32</v>
      </c>
      <c r="M389" s="6">
        <v>0.56814892955193996</v>
      </c>
    </row>
    <row r="390" spans="1:13" x14ac:dyDescent="0.3">
      <c r="A390">
        <v>1389</v>
      </c>
      <c r="B390" s="1">
        <v>45315</v>
      </c>
      <c r="C390" t="s">
        <v>13</v>
      </c>
      <c r="D390" t="s">
        <v>25</v>
      </c>
      <c r="E390" t="s">
        <v>22</v>
      </c>
      <c r="F390">
        <v>1337.98</v>
      </c>
      <c r="G390">
        <v>1359.21</v>
      </c>
      <c r="H390">
        <v>6</v>
      </c>
      <c r="I390">
        <v>2024</v>
      </c>
      <c r="J390">
        <v>1</v>
      </c>
      <c r="K390" t="s">
        <v>16</v>
      </c>
      <c r="L390" t="s">
        <v>30</v>
      </c>
      <c r="M390" s="6">
        <v>1.01586720279825</v>
      </c>
    </row>
    <row r="391" spans="1:13" x14ac:dyDescent="0.3">
      <c r="A391">
        <v>1390</v>
      </c>
      <c r="B391" s="1">
        <v>45316</v>
      </c>
      <c r="C391" t="s">
        <v>13</v>
      </c>
      <c r="D391" t="s">
        <v>25</v>
      </c>
      <c r="E391" t="s">
        <v>19</v>
      </c>
      <c r="F391">
        <v>124.9</v>
      </c>
      <c r="G391">
        <v>564.52</v>
      </c>
      <c r="H391">
        <v>2</v>
      </c>
      <c r="I391">
        <v>2024</v>
      </c>
      <c r="J391">
        <v>1</v>
      </c>
      <c r="K391" t="s">
        <v>16</v>
      </c>
      <c r="L391" t="s">
        <v>20</v>
      </c>
      <c r="M391" s="6">
        <v>4.5197758206565197</v>
      </c>
    </row>
    <row r="392" spans="1:13" x14ac:dyDescent="0.3">
      <c r="A392">
        <v>1391</v>
      </c>
      <c r="B392" s="1">
        <v>45317</v>
      </c>
      <c r="C392" t="s">
        <v>44</v>
      </c>
      <c r="D392" t="s">
        <v>25</v>
      </c>
      <c r="E392" t="s">
        <v>29</v>
      </c>
      <c r="F392">
        <v>3509</v>
      </c>
      <c r="G392">
        <v>661.86</v>
      </c>
      <c r="H392">
        <v>2</v>
      </c>
      <c r="I392">
        <v>2024</v>
      </c>
      <c r="J392">
        <v>1</v>
      </c>
      <c r="K392" t="s">
        <v>16</v>
      </c>
      <c r="L392" t="s">
        <v>23</v>
      </c>
      <c r="M392" s="6">
        <v>0.18861783984041</v>
      </c>
    </row>
    <row r="393" spans="1:13" x14ac:dyDescent="0.3">
      <c r="A393">
        <v>1392</v>
      </c>
      <c r="B393" s="1">
        <v>45318</v>
      </c>
      <c r="C393" t="s">
        <v>43</v>
      </c>
      <c r="D393" t="s">
        <v>25</v>
      </c>
      <c r="E393" t="s">
        <v>29</v>
      </c>
      <c r="F393">
        <v>339.04</v>
      </c>
      <c r="G393">
        <v>-320.75</v>
      </c>
      <c r="H393">
        <v>5</v>
      </c>
      <c r="I393">
        <v>2024</v>
      </c>
      <c r="J393">
        <v>1</v>
      </c>
      <c r="K393" t="s">
        <v>16</v>
      </c>
      <c r="L393" t="s">
        <v>26</v>
      </c>
      <c r="M393" s="6">
        <v>-0.94605356300141596</v>
      </c>
    </row>
    <row r="394" spans="1:13" x14ac:dyDescent="0.3">
      <c r="A394">
        <v>1393</v>
      </c>
      <c r="B394" s="1">
        <v>45319</v>
      </c>
      <c r="C394" t="s">
        <v>13</v>
      </c>
      <c r="D394" t="s">
        <v>14</v>
      </c>
      <c r="E394" t="s">
        <v>22</v>
      </c>
      <c r="F394">
        <v>2709.75</v>
      </c>
      <c r="G394">
        <v>935.27</v>
      </c>
      <c r="H394">
        <v>4</v>
      </c>
      <c r="I394">
        <v>2024</v>
      </c>
      <c r="J394">
        <v>1</v>
      </c>
      <c r="K394" t="s">
        <v>16</v>
      </c>
      <c r="L394" t="s">
        <v>27</v>
      </c>
      <c r="M394" s="6">
        <v>0.34514992157948199</v>
      </c>
    </row>
    <row r="395" spans="1:13" x14ac:dyDescent="0.3">
      <c r="A395">
        <v>1394</v>
      </c>
      <c r="B395" s="1">
        <v>45320</v>
      </c>
      <c r="C395" t="s">
        <v>13</v>
      </c>
      <c r="D395" t="s">
        <v>14</v>
      </c>
      <c r="E395" t="s">
        <v>29</v>
      </c>
      <c r="F395">
        <v>4814.3999999999996</v>
      </c>
      <c r="G395">
        <v>299.81</v>
      </c>
      <c r="H395">
        <v>2</v>
      </c>
      <c r="I395">
        <v>2024</v>
      </c>
      <c r="J395">
        <v>1</v>
      </c>
      <c r="K395" t="s">
        <v>16</v>
      </c>
      <c r="L395" t="s">
        <v>17</v>
      </c>
      <c r="M395" s="6">
        <v>6.22735958790296E-2</v>
      </c>
    </row>
    <row r="396" spans="1:13" x14ac:dyDescent="0.3">
      <c r="A396">
        <v>1395</v>
      </c>
      <c r="B396" s="1">
        <v>45321</v>
      </c>
      <c r="C396" t="s">
        <v>13</v>
      </c>
      <c r="D396" t="s">
        <v>18</v>
      </c>
      <c r="E396" t="s">
        <v>22</v>
      </c>
      <c r="F396">
        <v>636.4</v>
      </c>
      <c r="G396">
        <v>1453.45</v>
      </c>
      <c r="H396">
        <v>3</v>
      </c>
      <c r="I396">
        <v>2024</v>
      </c>
      <c r="J396">
        <v>1</v>
      </c>
      <c r="K396" t="s">
        <v>16</v>
      </c>
      <c r="L396" t="s">
        <v>32</v>
      </c>
      <c r="M396" s="6">
        <v>2.2838623507228202</v>
      </c>
    </row>
    <row r="397" spans="1:13" x14ac:dyDescent="0.3">
      <c r="A397">
        <v>1396</v>
      </c>
      <c r="B397" s="1">
        <v>45322</v>
      </c>
      <c r="C397" t="s">
        <v>44</v>
      </c>
      <c r="D397" t="s">
        <v>21</v>
      </c>
      <c r="E397" t="s">
        <v>19</v>
      </c>
      <c r="F397">
        <v>4482.95</v>
      </c>
      <c r="G397">
        <v>1146.3499999999999</v>
      </c>
      <c r="H397">
        <v>7</v>
      </c>
      <c r="I397">
        <v>2024</v>
      </c>
      <c r="J397">
        <v>1</v>
      </c>
      <c r="K397" t="s">
        <v>16</v>
      </c>
      <c r="L397" t="s">
        <v>30</v>
      </c>
      <c r="M397" s="6">
        <v>0.25571331377775802</v>
      </c>
    </row>
    <row r="398" spans="1:13" x14ac:dyDescent="0.3">
      <c r="A398">
        <v>1397</v>
      </c>
      <c r="B398" s="1">
        <v>45323</v>
      </c>
      <c r="C398" t="s">
        <v>44</v>
      </c>
      <c r="D398" t="s">
        <v>25</v>
      </c>
      <c r="E398" t="s">
        <v>19</v>
      </c>
      <c r="F398">
        <v>4958.2299999999996</v>
      </c>
      <c r="G398">
        <v>544.96</v>
      </c>
      <c r="H398">
        <v>8</v>
      </c>
      <c r="I398">
        <v>2024</v>
      </c>
      <c r="J398">
        <v>2</v>
      </c>
      <c r="K398" t="s">
        <v>31</v>
      </c>
      <c r="L398" t="s">
        <v>20</v>
      </c>
      <c r="M398" s="6">
        <v>0.109910189724962</v>
      </c>
    </row>
    <row r="399" spans="1:13" x14ac:dyDescent="0.3">
      <c r="A399">
        <v>1398</v>
      </c>
      <c r="B399" s="1">
        <v>45324</v>
      </c>
      <c r="C399" t="s">
        <v>43</v>
      </c>
      <c r="D399" t="s">
        <v>24</v>
      </c>
      <c r="E399" t="s">
        <v>15</v>
      </c>
      <c r="F399">
        <v>401.43</v>
      </c>
      <c r="G399">
        <v>-253.55</v>
      </c>
      <c r="H399">
        <v>6</v>
      </c>
      <c r="I399">
        <v>2024</v>
      </c>
      <c r="J399">
        <v>2</v>
      </c>
      <c r="K399" t="s">
        <v>31</v>
      </c>
      <c r="L399" t="s">
        <v>23</v>
      </c>
      <c r="M399" s="6">
        <v>-0.63161696933462896</v>
      </c>
    </row>
    <row r="400" spans="1:13" x14ac:dyDescent="0.3">
      <c r="A400">
        <v>1399</v>
      </c>
      <c r="B400" s="1">
        <v>45325</v>
      </c>
      <c r="C400" t="s">
        <v>43</v>
      </c>
      <c r="D400" t="s">
        <v>21</v>
      </c>
      <c r="E400" t="s">
        <v>19</v>
      </c>
      <c r="F400">
        <v>4426.24</v>
      </c>
      <c r="G400">
        <v>1218.83</v>
      </c>
      <c r="H400">
        <v>5</v>
      </c>
      <c r="I400">
        <v>2024</v>
      </c>
      <c r="J400">
        <v>2</v>
      </c>
      <c r="K400" t="s">
        <v>31</v>
      </c>
      <c r="L400" t="s">
        <v>26</v>
      </c>
      <c r="M400" s="6">
        <v>0.27536464358010398</v>
      </c>
    </row>
    <row r="401" spans="1:13" x14ac:dyDescent="0.3">
      <c r="A401">
        <v>1400</v>
      </c>
      <c r="B401" s="1">
        <v>45326</v>
      </c>
      <c r="C401" t="s">
        <v>43</v>
      </c>
      <c r="D401" t="s">
        <v>24</v>
      </c>
      <c r="E401" t="s">
        <v>22</v>
      </c>
      <c r="F401">
        <v>2628.79</v>
      </c>
      <c r="G401">
        <v>1099.56</v>
      </c>
      <c r="H401">
        <v>1</v>
      </c>
      <c r="I401">
        <v>2024</v>
      </c>
      <c r="J401">
        <v>2</v>
      </c>
      <c r="K401" t="s">
        <v>31</v>
      </c>
      <c r="L401" t="s">
        <v>27</v>
      </c>
      <c r="M401" s="6">
        <v>0.418276088999121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4BF0C30-6427-40C8-AABD-1FD27C043E32}">
  <ds:schemaRefs/>
</ds:datastoreItem>
</file>

<file path=customXml/itemProps2.xml><?xml version="1.0" encoding="utf-8"?>
<ds:datastoreItem xmlns:ds="http://schemas.openxmlformats.org/officeDocument/2006/customXml" ds:itemID="{2415F2A5-8E2D-485A-8500-DCEB79BD6AE7}">
  <ds:schemaRefs/>
</ds:datastoreItem>
</file>

<file path=customXml/itemProps3.xml><?xml version="1.0" encoding="utf-8"?>
<ds:datastoreItem xmlns:ds="http://schemas.openxmlformats.org/officeDocument/2006/customXml" ds:itemID="{D4696BC8-216F-43F3-A772-A8F340A2DD49}">
  <ds:schemaRefs/>
</ds:datastoreItem>
</file>

<file path=customXml/itemProps4.xml><?xml version="1.0" encoding="utf-8"?>
<ds:datastoreItem xmlns:ds="http://schemas.openxmlformats.org/officeDocument/2006/customXml" ds:itemID="{542BCD5B-86E9-4EC0-9B1A-8F003760770C}">
  <ds:schemaRefs/>
</ds:datastoreItem>
</file>

<file path=customXml/itemProps5.xml><?xml version="1.0" encoding="utf-8"?>
<ds:datastoreItem xmlns:ds="http://schemas.openxmlformats.org/officeDocument/2006/customXml" ds:itemID="{DA6937B4-79C2-4794-BE4E-6CF2BF4065A0}">
  <ds:schemaRefs/>
</ds:datastoreItem>
</file>

<file path=customXml/itemProps6.xml><?xml version="1.0" encoding="utf-8"?>
<ds:datastoreItem xmlns:ds="http://schemas.openxmlformats.org/officeDocument/2006/customXml" ds:itemID="{89639C23-7C66-4AE2-9F40-FB2C7DE8E572}">
  <ds:schemaRefs/>
</ds:datastoreItem>
</file>

<file path=customXml/itemProps7.xml><?xml version="1.0" encoding="utf-8"?>
<ds:datastoreItem xmlns:ds="http://schemas.openxmlformats.org/officeDocument/2006/customXml" ds:itemID="{F54ACA18-7476-4799-B4EB-41B54F672489}">
  <ds:schemaRefs/>
</ds:datastoreItem>
</file>

<file path=customXml/itemProps8.xml><?xml version="1.0" encoding="utf-8"?>
<ds:datastoreItem xmlns:ds="http://schemas.openxmlformats.org/officeDocument/2006/customXml" ds:itemID="{21B6877F-3C57-4699-B77C-9303208E0B4E}">
  <ds:schemaRefs/>
</ds:datastoreItem>
</file>

<file path=customXml/itemProps9.xml><?xml version="1.0" encoding="utf-8"?>
<ds:datastoreItem xmlns:ds="http://schemas.openxmlformats.org/officeDocument/2006/customXml" ds:itemID="{4CE28890-64D4-49E6-B119-1E5EAA4AA459}">
  <ds:schemaRefs/>
</ds:datastoreItem>
</file>

<file path=customXml/itemProps10.xml><?xml version="1.0" encoding="utf-8"?>
<ds:datastoreItem xmlns:ds="http://schemas.openxmlformats.org/officeDocument/2006/customXml" ds:itemID="{D22FBD8E-FFDA-47AA-BCFE-9BC4680C4AFD}">
  <ds:schemaRefs/>
</ds:datastoreItem>
</file>

<file path=customXml/itemProps11.xml><?xml version="1.0" encoding="utf-8"?>
<ds:datastoreItem xmlns:ds="http://schemas.openxmlformats.org/officeDocument/2006/customXml" ds:itemID="{0AB5F6F8-6B06-4536-B858-A148559917A0}">
  <ds:schemaRefs/>
</ds:datastoreItem>
</file>

<file path=customXml/itemProps12.xml><?xml version="1.0" encoding="utf-8"?>
<ds:datastoreItem xmlns:ds="http://schemas.openxmlformats.org/officeDocument/2006/customXml" ds:itemID="{E59A828C-0C25-4D2D-ABA6-6857D0337E28}">
  <ds:schemaRefs/>
</ds:datastoreItem>
</file>

<file path=customXml/itemProps13.xml><?xml version="1.0" encoding="utf-8"?>
<ds:datastoreItem xmlns:ds="http://schemas.openxmlformats.org/officeDocument/2006/customXml" ds:itemID="{A265E22B-0CC8-4417-A151-A0C95A582801}">
  <ds:schemaRefs/>
</ds:datastoreItem>
</file>

<file path=customXml/itemProps14.xml><?xml version="1.0" encoding="utf-8"?>
<ds:datastoreItem xmlns:ds="http://schemas.openxmlformats.org/officeDocument/2006/customXml" ds:itemID="{B4F7B29B-4626-48C2-A954-2C34B3667546}">
  <ds:schemaRefs/>
</ds:datastoreItem>
</file>

<file path=customXml/itemProps15.xml><?xml version="1.0" encoding="utf-8"?>
<ds:datastoreItem xmlns:ds="http://schemas.openxmlformats.org/officeDocument/2006/customXml" ds:itemID="{EF1A6AB1-590C-4C20-A00C-5C51D5AE252B}">
  <ds:schemaRefs/>
</ds:datastoreItem>
</file>

<file path=customXml/itemProps16.xml><?xml version="1.0" encoding="utf-8"?>
<ds:datastoreItem xmlns:ds="http://schemas.openxmlformats.org/officeDocument/2006/customXml" ds:itemID="{F655A9AF-A68D-4C90-91C4-71969322F384}">
  <ds:schemaRefs>
    <ds:schemaRef ds:uri="http://schemas.microsoft.com/DataMashup"/>
  </ds:schemaRefs>
</ds:datastoreItem>
</file>

<file path=customXml/itemProps17.xml><?xml version="1.0" encoding="utf-8"?>
<ds:datastoreItem xmlns:ds="http://schemas.openxmlformats.org/officeDocument/2006/customXml" ds:itemID="{458722BF-6CDD-4FAB-8E2A-123F17C1F6C2}">
  <ds:schemaRefs/>
</ds:datastoreItem>
</file>

<file path=customXml/itemProps18.xml><?xml version="1.0" encoding="utf-8"?>
<ds:datastoreItem xmlns:ds="http://schemas.openxmlformats.org/officeDocument/2006/customXml" ds:itemID="{CB2BC1D1-FE73-41BF-A599-3F289C7B18E7}">
  <ds:schemaRefs/>
</ds:datastoreItem>
</file>

<file path=customXml/itemProps19.xml><?xml version="1.0" encoding="utf-8"?>
<ds:datastoreItem xmlns:ds="http://schemas.openxmlformats.org/officeDocument/2006/customXml" ds:itemID="{EE1CA36B-E743-433A-8A52-BB51092895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Saini</dc:creator>
  <cp:lastModifiedBy>Aman Saini</cp:lastModifiedBy>
  <dcterms:created xsi:type="dcterms:W3CDTF">2026-06-08T07:55:00Z</dcterms:created>
  <dcterms:modified xsi:type="dcterms:W3CDTF">2026-06-09T10:31:30Z</dcterms:modified>
</cp:coreProperties>
</file>